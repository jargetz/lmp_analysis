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getzoff/Documents/MPA/Spring 2025/Capstone/Continuing/CA Emissions Data/"/>
    </mc:Choice>
  </mc:AlternateContent>
  <xr:revisionPtr revIDLastSave="0" documentId="13_ncr:2001_{95E68599-DB62-7E49-BA89-C6BE378C7E0D}" xr6:coauthVersionLast="47" xr6:coauthVersionMax="47" xr10:uidLastSave="{00000000-0000-0000-0000-000000000000}"/>
  <bookViews>
    <workbookView xWindow="3580" yWindow="2200" windowWidth="42080" windowHeight="21140" xr2:uid="{C5775B5D-E9A8-6046-91C7-9E2285AFD1BA}"/>
  </bookViews>
  <sheets>
    <sheet name="FacilityEmissions-5" sheetId="1" r:id="rId1"/>
  </sheets>
  <calcPr calcId="191029"/>
  <pivotCaches>
    <pivotCache cacheId="16" r:id="rId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16" i="1" l="1"/>
  <c r="Y417" i="1"/>
  <c r="X417" i="1"/>
  <c r="W417" i="1"/>
  <c r="V417" i="1"/>
  <c r="T417" i="1"/>
  <c r="U417" i="1" s="1"/>
  <c r="Y418" i="1"/>
  <c r="X418" i="1"/>
  <c r="W418" i="1"/>
  <c r="V418" i="1"/>
  <c r="T418" i="1"/>
  <c r="U418" i="1" l="1"/>
  <c r="V419" i="1"/>
  <c r="W419" i="1"/>
  <c r="X419" i="1"/>
  <c r="Y419" i="1"/>
  <c r="T419" i="1"/>
  <c r="U419" i="1" s="1"/>
  <c r="Z398" i="1"/>
  <c r="AA399" i="1"/>
  <c r="AD397" i="1"/>
  <c r="AD400" i="1" s="1"/>
  <c r="AD396" i="1"/>
  <c r="AD399" i="1" s="1"/>
  <c r="AD395" i="1"/>
  <c r="AD398" i="1" s="1"/>
  <c r="AC397" i="1"/>
  <c r="AC400" i="1" s="1"/>
  <c r="AC396" i="1"/>
  <c r="AC399" i="1" s="1"/>
  <c r="AC395" i="1"/>
  <c r="AC398" i="1" s="1"/>
  <c r="AB397" i="1"/>
  <c r="AB400" i="1" s="1"/>
  <c r="AB396" i="1"/>
  <c r="AB399" i="1" s="1"/>
  <c r="AB395" i="1"/>
  <c r="AB398" i="1" s="1"/>
  <c r="AA397" i="1"/>
  <c r="AA400" i="1" s="1"/>
  <c r="AA396" i="1"/>
  <c r="AA395" i="1"/>
  <c r="AA398" i="1" s="1"/>
  <c r="Y397" i="1"/>
  <c r="Y400" i="1" s="1"/>
  <c r="Y396" i="1"/>
  <c r="Y399" i="1" s="1"/>
  <c r="Y395" i="1"/>
  <c r="Y398" i="1" s="1"/>
  <c r="B399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Y394" i="1"/>
  <c r="Z400" i="1" l="1"/>
  <c r="Z399" i="1"/>
  <c r="Y402" i="1"/>
  <c r="Y401" i="1"/>
</calcChain>
</file>

<file path=xl/sharedStrings.xml><?xml version="1.0" encoding="utf-8"?>
<sst xmlns="http://schemas.openxmlformats.org/spreadsheetml/2006/main" count="4397" uniqueCount="1539">
  <si>
    <t>Year</t>
  </si>
  <si>
    <t>ARBID</t>
  </si>
  <si>
    <t>FACID</t>
  </si>
  <si>
    <t>Facility</t>
  </si>
  <si>
    <t>Primary Sector</t>
  </si>
  <si>
    <t>NAICS Code</t>
  </si>
  <si>
    <t>NAICS Description</t>
  </si>
  <si>
    <t>Address</t>
  </si>
  <si>
    <t>City</t>
  </si>
  <si>
    <t>State</t>
  </si>
  <si>
    <t>Zip Code</t>
  </si>
  <si>
    <t>Latitude</t>
  </si>
  <si>
    <t>Longitude</t>
  </si>
  <si>
    <t>Tract</t>
  </si>
  <si>
    <t>County</t>
  </si>
  <si>
    <t>District</t>
  </si>
  <si>
    <t>Basin</t>
  </si>
  <si>
    <t>Cap-and-Trade</t>
  </si>
  <si>
    <t>Total GHG</t>
  </si>
  <si>
    <t>Non-Biomass GHG</t>
  </si>
  <si>
    <t>Biomass CO2</t>
  </si>
  <si>
    <t>CO2</t>
  </si>
  <si>
    <t>CH4</t>
  </si>
  <si>
    <t>N2O</t>
  </si>
  <si>
    <t>Covered GHG</t>
  </si>
  <si>
    <t>VOC</t>
  </si>
  <si>
    <t>NOx</t>
  </si>
  <si>
    <t>SOx</t>
  </si>
  <si>
    <t>PM10</t>
  </si>
  <si>
    <t>PM2.5</t>
  </si>
  <si>
    <t>Benzene</t>
  </si>
  <si>
    <t>13-Butadiene</t>
  </si>
  <si>
    <t>Chromium Hexavalent</t>
  </si>
  <si>
    <t>Diesel PM</t>
  </si>
  <si>
    <t>Formaldehyde</t>
  </si>
  <si>
    <t>Hydrochloric Acid</t>
  </si>
  <si>
    <t>Hydrogen Sulfide</t>
  </si>
  <si>
    <t>Nickel</t>
  </si>
  <si>
    <t>Acute ToxicityWtd_Lbs</t>
  </si>
  <si>
    <t>Chronic ToxicityWtd_Lbs</t>
  </si>
  <si>
    <t>Cancer ToxicityWtd_Lbs</t>
  </si>
  <si>
    <t>Calciner</t>
  </si>
  <si>
    <t>Other Combustion Source</t>
  </si>
  <si>
    <t>All Other Petroleum and Coal Products Manufacturing</t>
  </si>
  <si>
    <t>1175 Carrack Avenue, Wilmington, CA 90744</t>
  </si>
  <si>
    <t>Wilmington</t>
  </si>
  <si>
    <t>California</t>
  </si>
  <si>
    <t>CA06037980014</t>
  </si>
  <si>
    <t>Los Angeles</t>
  </si>
  <si>
    <t>South Coast AQMD</t>
  </si>
  <si>
    <t>South Coast</t>
  </si>
  <si>
    <t>Yes</t>
  </si>
  <si>
    <t>Searles Valley Minerals Inc.</t>
  </si>
  <si>
    <t>Potash, Soda, and Borate Mineral Mining</t>
  </si>
  <si>
    <t>13200 Main Street, Trona, CA 93562</t>
  </si>
  <si>
    <t>Trona</t>
  </si>
  <si>
    <t>CA06071008901</t>
  </si>
  <si>
    <t>San Bernardino</t>
  </si>
  <si>
    <t>Mojave Desert AQMD</t>
  </si>
  <si>
    <t>Mojave Desert</t>
  </si>
  <si>
    <t>CalPortland Company, Oro Grande Plant</t>
  </si>
  <si>
    <t>Cement Plant</t>
  </si>
  <si>
    <t>Cement Manufacturing</t>
  </si>
  <si>
    <t>19409 National Trails Highway, Oro Grande, CA 92368</t>
  </si>
  <si>
    <t>Oro Grande</t>
  </si>
  <si>
    <t>CA06071011700</t>
  </si>
  <si>
    <t>Burney Forest Products</t>
  </si>
  <si>
    <t>Cogeneration</t>
  </si>
  <si>
    <t>Other Electric Power Generation</t>
  </si>
  <si>
    <t>35586 B Hwy 299 East, Burney, CA 96013</t>
  </si>
  <si>
    <t>Burney</t>
  </si>
  <si>
    <t>CA06089012701</t>
  </si>
  <si>
    <t>Shasta</t>
  </si>
  <si>
    <t>Shasta County AQMD</t>
  </si>
  <si>
    <t>Sacramento Valley</t>
  </si>
  <si>
    <t>No</t>
  </si>
  <si>
    <t>Humboldt Sawmill Company</t>
  </si>
  <si>
    <t>Biomass Electric Power Generation</t>
  </si>
  <si>
    <t>153 Main St, Scotia, CA 95565</t>
  </si>
  <si>
    <t>Scotia</t>
  </si>
  <si>
    <t>CA06023011100</t>
  </si>
  <si>
    <t>Humboldt</t>
  </si>
  <si>
    <t>North Coast Unified AQMD</t>
  </si>
  <si>
    <t>North Coast</t>
  </si>
  <si>
    <t>Sierra Pacific Industries (SPI) - Burney</t>
  </si>
  <si>
    <t>Sawmills</t>
  </si>
  <si>
    <t>36336 Highway 299 East, Burney, CA 96013</t>
  </si>
  <si>
    <t>Sierra Pacific Industries (SPI) - Anderson, 96007</t>
  </si>
  <si>
    <t>19758 Riverside Ave, Anderson, CA 96007</t>
  </si>
  <si>
    <t>Anderson</t>
  </si>
  <si>
    <t>CA06089012301</t>
  </si>
  <si>
    <t>Air Products Wilmington Hydrogen Plant</t>
  </si>
  <si>
    <t>Hydrogen Plant</t>
  </si>
  <si>
    <t>Industrial Gas Manufacturing</t>
  </si>
  <si>
    <t>700 N. Henry Ford Ave., Wilmington, CA 90744</t>
  </si>
  <si>
    <t>Sacramento Municipal Utility District (SMUD) , Carson Power Plant</t>
  </si>
  <si>
    <t>Fossil Fuel Electric Power Generation</t>
  </si>
  <si>
    <t>8580 Laguna Station Road, Elk Grove, CA 95758</t>
  </si>
  <si>
    <t>Elk Grove</t>
  </si>
  <si>
    <t>CA06067009618</t>
  </si>
  <si>
    <t>Sacramento</t>
  </si>
  <si>
    <t>Sacramento Metropolitan AQMD</t>
  </si>
  <si>
    <t>California State University, San Jose</t>
  </si>
  <si>
    <t>Colleges, Universities, and Professional Schools</t>
  </si>
  <si>
    <t>One Washington Square, San Jose, CA 95192</t>
  </si>
  <si>
    <t>San Jose</t>
  </si>
  <si>
    <t>CA06085500901</t>
  </si>
  <si>
    <t>Santa Clara</t>
  </si>
  <si>
    <t>Bay Area AQMD</t>
  </si>
  <si>
    <t>San Francisco Bay Area</t>
  </si>
  <si>
    <t>Chevron Products Company - El Segundo Refinery, 90245</t>
  </si>
  <si>
    <t>Refinery</t>
  </si>
  <si>
    <t>Petroleum Refineries</t>
  </si>
  <si>
    <t>324, W. El Segundo Boulevard, El Segundo, CA 90245</t>
  </si>
  <si>
    <t>El Segundo</t>
  </si>
  <si>
    <t>CA06037620102</t>
  </si>
  <si>
    <t>Pitchess Cogeneration Station</t>
  </si>
  <si>
    <t>Correctional Institutions</t>
  </si>
  <si>
    <t>29300 The Old Road, Saugus, CA 91350</t>
  </si>
  <si>
    <t>Saugus</t>
  </si>
  <si>
    <t>CA06037920200</t>
  </si>
  <si>
    <t>Encina Water Pollution Control Facility</t>
  </si>
  <si>
    <t>Sewage Treatment Facilities</t>
  </si>
  <si>
    <t>6200 Avenida Encinas, Carlsbad, CA 92011</t>
  </si>
  <si>
    <t>Carlsbad</t>
  </si>
  <si>
    <t>CA06073017813</t>
  </si>
  <si>
    <t>San Diego</t>
  </si>
  <si>
    <t>San Diego County APCD</t>
  </si>
  <si>
    <t>Goal Line LP, 92025</t>
  </si>
  <si>
    <t>555 North Tulip Street, Escondido, CA 92025</t>
  </si>
  <si>
    <t>Escondido</t>
  </si>
  <si>
    <t>CA06073020307</t>
  </si>
  <si>
    <t>New-Indy Ontario, LLC Linerboard Mill</t>
  </si>
  <si>
    <t>Paperboard Mills</t>
  </si>
  <si>
    <t>5100 Jurupa Street, Ontario, CA 91761</t>
  </si>
  <si>
    <t>Ontario</t>
  </si>
  <si>
    <t>CA06071012700</t>
  </si>
  <si>
    <t>Kyocera International Inc.</t>
  </si>
  <si>
    <t>Semiconductor and Related Device Manufacturing</t>
  </si>
  <si>
    <t>8611 Balboa Avenue, San Diego, CA 92123</t>
  </si>
  <si>
    <t>CA06073008511</t>
  </si>
  <si>
    <t>Loma Linda University</t>
  </si>
  <si>
    <t>11100 Anderson Street, Loma Linda, CA 92354</t>
  </si>
  <si>
    <t>Loma Linda</t>
  </si>
  <si>
    <t>CA06071007303</t>
  </si>
  <si>
    <t>Torrance Refinery</t>
  </si>
  <si>
    <t>3700 WEST 190TH STREET, TORRANCE, CA 90504</t>
  </si>
  <si>
    <t>Torrance</t>
  </si>
  <si>
    <t>CA06037980005</t>
  </si>
  <si>
    <t>California State University, Channel Islands</t>
  </si>
  <si>
    <t>1947 W. Potrero Rd., Camarillo, CA 93012</t>
  </si>
  <si>
    <t>Camarillo</t>
  </si>
  <si>
    <t>CA06111005700</t>
  </si>
  <si>
    <t>Ventura</t>
  </si>
  <si>
    <t>Ventura County APCD</t>
  </si>
  <si>
    <t>South Central Coast</t>
  </si>
  <si>
    <t>OLS Energy Chino</t>
  </si>
  <si>
    <t>5601 Eucalyptus Ave., Chino, CA 91710</t>
  </si>
  <si>
    <t>Chino</t>
  </si>
  <si>
    <t>CA06071012200</t>
  </si>
  <si>
    <t>Sacramento Municipal Utility District (SMUD) , Procter &amp; Gamble Power Plant</t>
  </si>
  <si>
    <t>5000 83rd Street, Sacramento, CA 95826</t>
  </si>
  <si>
    <t>CA06067005205</t>
  </si>
  <si>
    <t>Orange County Sanitation District - Plant 1</t>
  </si>
  <si>
    <t>10844 Ellis Avenue, Fountain Valley, CA 92708</t>
  </si>
  <si>
    <t>Fountain Valley</t>
  </si>
  <si>
    <t>CA06059099229</t>
  </si>
  <si>
    <t>Orange</t>
  </si>
  <si>
    <t>Eco Services - Martinez</t>
  </si>
  <si>
    <t>All Other Basic Inorganic Chemical Manufacturing</t>
  </si>
  <si>
    <t>100 Mococo Road, Martinez, CA 94553</t>
  </si>
  <si>
    <t>Martinez</t>
  </si>
  <si>
    <t>CA06013320001</t>
  </si>
  <si>
    <t>Contra Costa</t>
  </si>
  <si>
    <t>Eco Services - Dominguez</t>
  </si>
  <si>
    <t>20720 S. Wilmington Ave., Carson, CA 90810</t>
  </si>
  <si>
    <t>Carson</t>
  </si>
  <si>
    <t>CA06037980025</t>
  </si>
  <si>
    <t>SRI International Cogen Project</t>
  </si>
  <si>
    <t>333 Ravenswood Avenue, Building U, Menlo Park, CA 94025</t>
  </si>
  <si>
    <t>Menlo Park</t>
  </si>
  <si>
    <t>CA06081612500</t>
  </si>
  <si>
    <t>San Mateo</t>
  </si>
  <si>
    <t>University of California, Santa Cruz, UCSC EH&amp;S Office</t>
  </si>
  <si>
    <t>EH&amp;S Office, UCSC, 1156 High Street, Santa Cruz, CA 95064</t>
  </si>
  <si>
    <t>Santa Cruz</t>
  </si>
  <si>
    <t>CA06087100400</t>
  </si>
  <si>
    <t>Monterey Bay ARD</t>
  </si>
  <si>
    <t>North Central Coast</t>
  </si>
  <si>
    <t>McKittrick Limited</t>
  </si>
  <si>
    <t>4905 Reward Road, McKittrick, CA 93251</t>
  </si>
  <si>
    <t>McKittrick</t>
  </si>
  <si>
    <t>CA06029003304</t>
  </si>
  <si>
    <t>Kern</t>
  </si>
  <si>
    <t>San Joaquin Valley APCD</t>
  </si>
  <si>
    <t>San Joaquin Valley</t>
  </si>
  <si>
    <t>U.S. Borax, 93516</t>
  </si>
  <si>
    <t>14486 Borax Road, Boron, CA 93516</t>
  </si>
  <si>
    <t>Boron</t>
  </si>
  <si>
    <t>CA06029005600</t>
  </si>
  <si>
    <t>Eastern Kern APCD</t>
  </si>
  <si>
    <t>Phillips 66 Company - San Francisco Refinery</t>
  </si>
  <si>
    <t>1380 San Pablo Ave, Rodeo, CA 94572</t>
  </si>
  <si>
    <t>Rodeo</t>
  </si>
  <si>
    <t>CA06013358000</t>
  </si>
  <si>
    <t>University of California, Davis</t>
  </si>
  <si>
    <t>One Shields Avenue, Davis, CA 95616</t>
  </si>
  <si>
    <t>Davis</t>
  </si>
  <si>
    <t>CA06113010501</t>
  </si>
  <si>
    <t>Yolo</t>
  </si>
  <si>
    <t>Yolo-Solano AQMD</t>
  </si>
  <si>
    <t>Yuba City Cogeneration Partners LP</t>
  </si>
  <si>
    <t>873 N. Walton Ave., Yuba City, CA 95993</t>
  </si>
  <si>
    <t>Yuba City</t>
  </si>
  <si>
    <t>CA06101050501</t>
  </si>
  <si>
    <t>Sutter</t>
  </si>
  <si>
    <t>Feather River AQMD</t>
  </si>
  <si>
    <t>California Institute of Technology (CalTech)</t>
  </si>
  <si>
    <t>1200 E. California Blvd., Pasadena, CA 91125</t>
  </si>
  <si>
    <t>Pasadena</t>
  </si>
  <si>
    <t>CA06037463500</t>
  </si>
  <si>
    <t>Civic Center Cogen, LA County</t>
  </si>
  <si>
    <t>Steam and Air-Conditioning Supply</t>
  </si>
  <si>
    <t>301 N. Broadway, Los Angeles, CA 90012</t>
  </si>
  <si>
    <t>CA06037207400</t>
  </si>
  <si>
    <t>Phillips 66 Company - Los Angeles Refinery - Wilmington Plant</t>
  </si>
  <si>
    <t>1660 W. Anaheim St., Wilmington, CA 90744</t>
  </si>
  <si>
    <t>CA06037980015</t>
  </si>
  <si>
    <t>Calpine - Los Medanos Energy Center, LLC</t>
  </si>
  <si>
    <t>750 E. 3rd St, Pittsburg, CA 94565</t>
  </si>
  <si>
    <t>Pittsburg</t>
  </si>
  <si>
    <t>CA06013309000</t>
  </si>
  <si>
    <t>Phillips 66 Company - San Francisco Carbon Plant</t>
  </si>
  <si>
    <t>2101 Franklin Canyon Road, Rodeo, CA 94572</t>
  </si>
  <si>
    <t>CA06013356001</t>
  </si>
  <si>
    <t>Valero Refining Company - California, Benicia Refinery and Benicia Asphalt Plant</t>
  </si>
  <si>
    <t>3400 East Second Street, Benicia, CA 94510</t>
  </si>
  <si>
    <t>Benicia</t>
  </si>
  <si>
    <t>CA06095252102</t>
  </si>
  <si>
    <t>Solano</t>
  </si>
  <si>
    <t>Braun Medical Inc</t>
  </si>
  <si>
    <t>Pharmaceutical Preparation Manufacturing</t>
  </si>
  <si>
    <t>2525 Mc Gaw Ave., Irvine, CA 92614</t>
  </si>
  <si>
    <t>Irvine</t>
  </si>
  <si>
    <t>CA06059075515</t>
  </si>
  <si>
    <t>Sycamore Cogeneration Facility</t>
  </si>
  <si>
    <t>SW China Grade Loop, Bakersfield, CA 93308</t>
  </si>
  <si>
    <t>Bakersfield</t>
  </si>
  <si>
    <t>CA06029005103</t>
  </si>
  <si>
    <t>Plains LPG Services/ Lone Star Frac &amp; Isom Facility</t>
  </si>
  <si>
    <t>Oil and Gas Production</t>
  </si>
  <si>
    <t>Natural Gas Liquid Extraction</t>
  </si>
  <si>
    <t>19340 Beech Ave, Shafter, CA 93263</t>
  </si>
  <si>
    <t>Shafter</t>
  </si>
  <si>
    <t>CA06029004200</t>
  </si>
  <si>
    <t>Shadow Wolf Energy - Placerita</t>
  </si>
  <si>
    <t>Crude Petroleum and Natural Gas Extraction</t>
  </si>
  <si>
    <t>25121 North Sierra Highway, Newhall, CA 91321</t>
  </si>
  <si>
    <t>Newhall</t>
  </si>
  <si>
    <t>CA06037920332</t>
  </si>
  <si>
    <t>Bridge Energy, LLC</t>
  </si>
  <si>
    <t>2000 Tonner Canyon Rd, Brea, CA 92821</t>
  </si>
  <si>
    <t>Brea</t>
  </si>
  <si>
    <t>CA06059021815</t>
  </si>
  <si>
    <t>Phillips 66 Company - Los Angeles Refinery - Carson Plant</t>
  </si>
  <si>
    <t>1520 E. Sepulveda Blvd., Carson, CA 90745</t>
  </si>
  <si>
    <t>CA06037980002</t>
  </si>
  <si>
    <t>Martinez Refining Company LLC</t>
  </si>
  <si>
    <t>3485 Pacheco Blvd., Martinez, CA 94553</t>
  </si>
  <si>
    <t>Southern California Gas Co - Honor Rancho Facility</t>
  </si>
  <si>
    <t>Pipeline Transportation of Natural Gas</t>
  </si>
  <si>
    <t>25205 W. Rye Canyon Road, Valencia, CA 91355</t>
  </si>
  <si>
    <t>Valencia</t>
  </si>
  <si>
    <t>CA06037920107</t>
  </si>
  <si>
    <t>CertainTeed Corporation</t>
  </si>
  <si>
    <t>Mineral Wool Manufacturing</t>
  </si>
  <si>
    <t>17775 Ave 23 1/2, Chowchilla, CA 93610</t>
  </si>
  <si>
    <t>Chowchilla</t>
  </si>
  <si>
    <t>CA06039000202</t>
  </si>
  <si>
    <t>Madera</t>
  </si>
  <si>
    <t>Campbell Soup Supply Company, L.L.C. - Dixon</t>
  </si>
  <si>
    <t>Fruit and Vegetable Canning</t>
  </si>
  <si>
    <t>8380 Pedrick Road, Dixon, CA 95620</t>
  </si>
  <si>
    <t>Dixon</t>
  </si>
  <si>
    <t>CA06095253300</t>
  </si>
  <si>
    <t>Anheuser-Busch LLC - Fairfield</t>
  </si>
  <si>
    <t>Breweries</t>
  </si>
  <si>
    <t>3101 Busch Drive, Fairfield, CA 94534</t>
  </si>
  <si>
    <t>Fairfield</t>
  </si>
  <si>
    <t>CA06095252305</t>
  </si>
  <si>
    <t>TST, Inc.</t>
  </si>
  <si>
    <t>Secondary Smelting and Alloying of Aluminum</t>
  </si>
  <si>
    <t>11601 Etiwanda Ave, Fontana, CA 92337</t>
  </si>
  <si>
    <t>Fontana</t>
  </si>
  <si>
    <t>CA06071002204</t>
  </si>
  <si>
    <t>Vista Metals Corp.</t>
  </si>
  <si>
    <t>13425 Whittram Avenue, Fontana, CA 92335</t>
  </si>
  <si>
    <t>California Steel Industries</t>
  </si>
  <si>
    <t>Rolled Steel Shape Manufacturing</t>
  </si>
  <si>
    <t>14000 SAN BERNARDINO AVE, Fontana, CA 92335</t>
  </si>
  <si>
    <t>E &amp; J Gallo Winery - Fresno</t>
  </si>
  <si>
    <t>Wineries</t>
  </si>
  <si>
    <t>5610 Olive, Fresno, CA 93727</t>
  </si>
  <si>
    <t>Fresno</t>
  </si>
  <si>
    <t>CA06019003001</t>
  </si>
  <si>
    <t>California Dairies, Inc. Fresno</t>
  </si>
  <si>
    <t>Dry, Condensed, and Evaporated Dairy Product Manufacturing</t>
  </si>
  <si>
    <t>755 F Street, Fresno, CA 93706</t>
  </si>
  <si>
    <t>CA06019000300</t>
  </si>
  <si>
    <t>Los Gatos Tomato Products</t>
  </si>
  <si>
    <t>19800 Gale Avenue, Huron, CA 93234</t>
  </si>
  <si>
    <t>Huron</t>
  </si>
  <si>
    <t>CA06019007801</t>
  </si>
  <si>
    <t>University of California, Los Angeles, UCLA</t>
  </si>
  <si>
    <t>405 Hilgard Ave., Los Angeles, CA 90095</t>
  </si>
  <si>
    <t>CA06037265301</t>
  </si>
  <si>
    <t>Ingomar Packing Company</t>
  </si>
  <si>
    <t>9950 S. Ingomar Grade, Los Banos, CA 93635</t>
  </si>
  <si>
    <t>Los Banos</t>
  </si>
  <si>
    <t>CA06047002000</t>
  </si>
  <si>
    <t>Merced</t>
  </si>
  <si>
    <t>Mitsubishi Cement 2000</t>
  </si>
  <si>
    <t>5808 State Highway 18, Lucerne Valley, CA 92356</t>
  </si>
  <si>
    <t>Lucerne Valley</t>
  </si>
  <si>
    <t>CA06071012103</t>
  </si>
  <si>
    <t>Central Contra Costa Sanitary District</t>
  </si>
  <si>
    <t>5019 Imhoff Place, Martinez, CA 94553</t>
  </si>
  <si>
    <t>CA06013320004</t>
  </si>
  <si>
    <t>Air Products &amp; Chemicals, Inc., Martinez</t>
  </si>
  <si>
    <t>P.O. Box 1469, Eric Schneider, Martinez, CA 94553</t>
  </si>
  <si>
    <t>CA06013315000</t>
  </si>
  <si>
    <t>Stanislaus Food Products</t>
  </si>
  <si>
    <t>1202 D Street, Modesto, CA 95354</t>
  </si>
  <si>
    <t>Modesto</t>
  </si>
  <si>
    <t>CA06099001800</t>
  </si>
  <si>
    <t>Stanislaus</t>
  </si>
  <si>
    <t>CalPortland Company, Mojave Plant</t>
  </si>
  <si>
    <t>9350 Oak Creek Road, Mojave, CA 93501</t>
  </si>
  <si>
    <t>Mojave</t>
  </si>
  <si>
    <t>CA06029006007</t>
  </si>
  <si>
    <t>PG&amp;E Topock Compressor Station</t>
  </si>
  <si>
    <t>Natural Gas Distribution</t>
  </si>
  <si>
    <t>145453 National Trails Highway, Needles, CA 92363</t>
  </si>
  <si>
    <t>Needles</t>
  </si>
  <si>
    <t>CA06071025100</t>
  </si>
  <si>
    <t>Safety-Kleen of California Inc.</t>
  </si>
  <si>
    <t>Petroleum Lubricating Oil and Grease Manufacturing</t>
  </si>
  <si>
    <t>6880 Smith Ave., Newark, CA 94560</t>
  </si>
  <si>
    <t>Newark</t>
  </si>
  <si>
    <t>CA06001444601</t>
  </si>
  <si>
    <t>Alameda</t>
  </si>
  <si>
    <t>Linde Inc.</t>
  </si>
  <si>
    <t>5705 E. Airport Dr., Ontario, CA 91761</t>
  </si>
  <si>
    <t>AltAir Paramount LLC</t>
  </si>
  <si>
    <t>All Other Basic Organic Chemical Manufacturing</t>
  </si>
  <si>
    <t>14700 Downey Avenue, Paramount, CA 90723</t>
  </si>
  <si>
    <t>Paramount</t>
  </si>
  <si>
    <t>CA06037553502</t>
  </si>
  <si>
    <t>USS-UPI, LLC</t>
  </si>
  <si>
    <t>900 Loveridge Road, Pittsburg, CA 94565</t>
  </si>
  <si>
    <t>Solar Turbines Incorporated - Kearny Mesa</t>
  </si>
  <si>
    <t>Turbine and Turbine Generator Set Units Manufacturing</t>
  </si>
  <si>
    <t>4400 Ruffin Road, San Diego, CA 92123</t>
  </si>
  <si>
    <t>United Airlines, Inc. - San Francisco Maintenance Center</t>
  </si>
  <si>
    <t>Other Support Activities for Air Transportation</t>
  </si>
  <si>
    <t>800 South Airport Blvd, San Francisco, CA 94128</t>
  </si>
  <si>
    <t>San Francisco</t>
  </si>
  <si>
    <t>CA06081984300</t>
  </si>
  <si>
    <t>San Jose/Santa Clara Regional Wastewater Facility</t>
  </si>
  <si>
    <t>700 Los Esteros Road, San Jose, CA 95134</t>
  </si>
  <si>
    <t>CA06085504602</t>
  </si>
  <si>
    <t>Owens Corning Insulating Systems, LLC Santa Clara</t>
  </si>
  <si>
    <t>960 Central Expressway, Santa Clara, CA 95050</t>
  </si>
  <si>
    <t>CA06085505202</t>
  </si>
  <si>
    <t>Lunday-Thagard Company, DBA World Oil Refining</t>
  </si>
  <si>
    <t>9301 Garfield Ave., South Gate, CA 90280</t>
  </si>
  <si>
    <t>South Gate</t>
  </si>
  <si>
    <t>CA06037536102</t>
  </si>
  <si>
    <t>Amgen Inc.</t>
  </si>
  <si>
    <t>Biological Product (except Diagnostic) Manufacturing</t>
  </si>
  <si>
    <t>One Amgen Center Drive, Thousand Oaks, CA 91320</t>
  </si>
  <si>
    <t>Thousand Oaks</t>
  </si>
  <si>
    <t>CA06111006100</t>
  </si>
  <si>
    <t>Owens-Brockway Glass Container, Tracy</t>
  </si>
  <si>
    <t>Glass Container Manufacturing</t>
  </si>
  <si>
    <t>14700 W. Schulte Rd., Tracy, CA 95377</t>
  </si>
  <si>
    <t>Tracy</t>
  </si>
  <si>
    <t>CA06077005207</t>
  </si>
  <si>
    <t>San Joaquin</t>
  </si>
  <si>
    <t>Saputo Cheese USA Inc. - Paige</t>
  </si>
  <si>
    <t>Cheese Manufacturing</t>
  </si>
  <si>
    <t>800 E. Paige Avenue, Tulare, CA 93274</t>
  </si>
  <si>
    <t>Tulare</t>
  </si>
  <si>
    <t>CA06107002901</t>
  </si>
  <si>
    <t>California Dairies, Inc. Turlock</t>
  </si>
  <si>
    <t>475 S. Tegner Rd., Turlock, CA 95380</t>
  </si>
  <si>
    <t>Turlock</t>
  </si>
  <si>
    <t>CA06099003700</t>
  </si>
  <si>
    <t>MAGTFTC MCAGCC Twentynine Palms</t>
  </si>
  <si>
    <t>National Security</t>
  </si>
  <si>
    <t>Box 788110 Bldg 1451, Twentynine Palms, CA 92278</t>
  </si>
  <si>
    <t>Twentynine Palms</t>
  </si>
  <si>
    <t>CA06071010402</t>
  </si>
  <si>
    <t>California Dairies, Inc. Visalia</t>
  </si>
  <si>
    <t>2000 N. Plaza Dr., Visalia, CA 93291</t>
  </si>
  <si>
    <t>Visalia</t>
  </si>
  <si>
    <t>CA06107001003</t>
  </si>
  <si>
    <t>Ultramar Inc - Valero Wilmington</t>
  </si>
  <si>
    <t>2402 E Anaheim St, Wilmington, CA 90744</t>
  </si>
  <si>
    <t>Pacific Coast Producers</t>
  </si>
  <si>
    <t>1376 Lemen Avenue, Woodland, CA 95776</t>
  </si>
  <si>
    <t>Woodland</t>
  </si>
  <si>
    <t>CA06113010800</t>
  </si>
  <si>
    <t>Olam West Coast Inc- Lemoore</t>
  </si>
  <si>
    <t>Specialty Canning</t>
  </si>
  <si>
    <t>1175 S. 19th Ave., Lemoore, CA 93245</t>
  </si>
  <si>
    <t>Lemoore</t>
  </si>
  <si>
    <t>CA06031000402</t>
  </si>
  <si>
    <t>Kings</t>
  </si>
  <si>
    <t>Del Monte - Hanford</t>
  </si>
  <si>
    <t>10652 Jackson Ave., Hanford, CA 93230</t>
  </si>
  <si>
    <t>Hanford</t>
  </si>
  <si>
    <t>CA06031001200</t>
  </si>
  <si>
    <t>Disneyland Resort</t>
  </si>
  <si>
    <t>Amusement and Theme Parks</t>
  </si>
  <si>
    <t>1313 S. Harbor Blvd, Anaheim, CA 92802</t>
  </si>
  <si>
    <t>Anaheim</t>
  </si>
  <si>
    <t>CA06059980000</t>
  </si>
  <si>
    <t>Phillips 66 Company - Santa Maria Refinery</t>
  </si>
  <si>
    <t>2555 Willow Road, Arroyo Grande, CA 93420</t>
  </si>
  <si>
    <t>Arroyo Grande</t>
  </si>
  <si>
    <t>CA06079012304</t>
  </si>
  <si>
    <t>San Luis Obispo</t>
  </si>
  <si>
    <t>San Luis Obispo County APCD</t>
  </si>
  <si>
    <t>Mt. Poso Cogeneration Company</t>
  </si>
  <si>
    <t>36157 Famoso Rd, Bakersfield, CA 93308</t>
  </si>
  <si>
    <t>CA06029005201</t>
  </si>
  <si>
    <t>Grade 6 Oil, LLC</t>
  </si>
  <si>
    <t>3300 Manor Street, Bakersfield, CA 93308</t>
  </si>
  <si>
    <t>Frito Lay - Kern Plant</t>
  </si>
  <si>
    <t>Other Snack Food Manufacturing</t>
  </si>
  <si>
    <t>28801 Highway 58, Bakersfield, CA 93314</t>
  </si>
  <si>
    <t>CA06029003700</t>
  </si>
  <si>
    <t>Bakersfield Renewable Fuels - Area 1 &amp; 2</t>
  </si>
  <si>
    <t>6451 Rosedale Highway, Bakersfield, CA 93308</t>
  </si>
  <si>
    <t>CA06029000507</t>
  </si>
  <si>
    <t>San Joaquin Refining Company</t>
  </si>
  <si>
    <t>3542 Shell Street, Bakersfield, CA 93308</t>
  </si>
  <si>
    <t>Spreckels Sugar Company, Inc.- Brawley</t>
  </si>
  <si>
    <t>Beet Sugar Manufacturing</t>
  </si>
  <si>
    <t>395 W Keystone Rd, Brawley, CA 92227</t>
  </si>
  <si>
    <t>Brawley</t>
  </si>
  <si>
    <t>CA06025011000</t>
  </si>
  <si>
    <t>Imperial</t>
  </si>
  <si>
    <t>Imperial County APCD</t>
  </si>
  <si>
    <t>Salton Sea</t>
  </si>
  <si>
    <t>Dicalite Minerals Corp.</t>
  </si>
  <si>
    <t>All Other Nonmetallic Mineral Mining</t>
  </si>
  <si>
    <t>36994 Summit Lake Rd., Burney, CA 96013</t>
  </si>
  <si>
    <t>Los Angeles Refinery (LAR)</t>
  </si>
  <si>
    <t>Carson One Campus, 2350 E. 223rd Street, Carson, CA 90810</t>
  </si>
  <si>
    <t>Air Products Carson Hydrogen Plant</t>
  </si>
  <si>
    <t>23300 S. Alameda St., Carson, CA 90810</t>
  </si>
  <si>
    <t>Collins Pine Co.</t>
  </si>
  <si>
    <t>500 Main St., Chester, CA 96020</t>
  </si>
  <si>
    <t>Chester</t>
  </si>
  <si>
    <t>CA06063000501</t>
  </si>
  <si>
    <t>Plumas</t>
  </si>
  <si>
    <t>Northern Sierra AQMD</t>
  </si>
  <si>
    <t>Mountain Counties</t>
  </si>
  <si>
    <t>Dart Container Corporation of California</t>
  </si>
  <si>
    <t>Polystyrene Foam Product Manufacturing</t>
  </si>
  <si>
    <t>150 South Maple Street, Corona, CA 92880</t>
  </si>
  <si>
    <t>Corona</t>
  </si>
  <si>
    <t>CA06065041500</t>
  </si>
  <si>
    <t>Riverside</t>
  </si>
  <si>
    <t>Crockett Cogeneration Project, LP</t>
  </si>
  <si>
    <t>550 Loring Avenue, Crockett, CA 94525</t>
  </si>
  <si>
    <t>Crockett</t>
  </si>
  <si>
    <t>CA06013357000</t>
  </si>
  <si>
    <t>U.S. Gypsum Co Plaster City Plant</t>
  </si>
  <si>
    <t>Gypsum Product Manufacturing</t>
  </si>
  <si>
    <t>3810 W. Evan Hewes Highway, El Centro, CA 92243</t>
  </si>
  <si>
    <t>El Centro</t>
  </si>
  <si>
    <t>CA06025012301</t>
  </si>
  <si>
    <t>Orange County Sanitation District - Plant 2</t>
  </si>
  <si>
    <t>22212 Brookhurst Street, Huntington Beach, CA 92646</t>
  </si>
  <si>
    <t>Huntington Beach</t>
  </si>
  <si>
    <t>CA06059099240</t>
  </si>
  <si>
    <t>Olam West Coast, Inc. - Gilroy</t>
  </si>
  <si>
    <t>Dried and Dehydrated Food Manufacturing</t>
  </si>
  <si>
    <t>1350 Pacheco Pass Hwy, Gilroy, CA 95020</t>
  </si>
  <si>
    <t>Gilroy</t>
  </si>
  <si>
    <t>CA06085512602</t>
  </si>
  <si>
    <t>Hilmar Cheese Company</t>
  </si>
  <si>
    <t>9001 Lander Avenue, Hilmar, CA 95324</t>
  </si>
  <si>
    <t>Hilmar</t>
  </si>
  <si>
    <t>CA06047000901</t>
  </si>
  <si>
    <t>PG&amp;E Hinkley Compressor Station</t>
  </si>
  <si>
    <t>35863 Fairview Road, Hinkley, CA 92347</t>
  </si>
  <si>
    <t>Hinkley</t>
  </si>
  <si>
    <t>CA06071011900</t>
  </si>
  <si>
    <t>University of California, Irvine</t>
  </si>
  <si>
    <t>902 West Peltason Drive, Irvine, CA 92697</t>
  </si>
  <si>
    <t>CA06059062614</t>
  </si>
  <si>
    <t>Irwindale Brew Yard, LLC</t>
  </si>
  <si>
    <t>15801 East 1st Street, Irwindale, CA 91706</t>
  </si>
  <si>
    <t>Irwindale</t>
  </si>
  <si>
    <t>CA06037404600</t>
  </si>
  <si>
    <t>University of California, San Diego, UCSD</t>
  </si>
  <si>
    <t>9500 Gilman Drive #0089, La Jolla, CA 92093</t>
  </si>
  <si>
    <t>La Jolla</t>
  </si>
  <si>
    <t>CA06073008305</t>
  </si>
  <si>
    <t>National Cement Company - Lebec</t>
  </si>
  <si>
    <t>5 miles east of Interstate 5, off Highway 138, Lebec, CA 93243</t>
  </si>
  <si>
    <t>Lebec</t>
  </si>
  <si>
    <t>Sensient Natural Ingredients LLC</t>
  </si>
  <si>
    <t>9984 West Walnut Avenue, Livingston, CA 95334</t>
  </si>
  <si>
    <t>Livingston</t>
  </si>
  <si>
    <t>CA06047000505</t>
  </si>
  <si>
    <t>Imerys Filtration Minerals, Inc.</t>
  </si>
  <si>
    <t>2500 Miguelito Road, Lompoc, CA 93436</t>
  </si>
  <si>
    <t>Lompoc</t>
  </si>
  <si>
    <t>CA06083003102</t>
  </si>
  <si>
    <t>Santa Barbara</t>
  </si>
  <si>
    <t>Santa Barbara County APCD</t>
  </si>
  <si>
    <t>Los Angeles International Airport (LAX)</t>
  </si>
  <si>
    <t>Other Airport Operations</t>
  </si>
  <si>
    <t>275 Center Way, Los Angeles, CA 90045</t>
  </si>
  <si>
    <t>CA06037980028</t>
  </si>
  <si>
    <t>Martinez Renewable Fuel Facility</t>
  </si>
  <si>
    <t>150 Solano Way, Martinez, CA 94553</t>
  </si>
  <si>
    <t>Ardagh Glass Inc.</t>
  </si>
  <si>
    <t>24441 Avenue 12, Madera, CA 93637</t>
  </si>
  <si>
    <t>CA06039000503</t>
  </si>
  <si>
    <t>Southern California Gas Co - South Needles Facility</t>
  </si>
  <si>
    <t>24204 S. Highway 95, Needles, CA 92363</t>
  </si>
  <si>
    <t>Southern California Gas Co - Newberry Springs Facility</t>
  </si>
  <si>
    <t>28901 Fort Cady Road, Newberry Springs, CA 92365</t>
  </si>
  <si>
    <t>Newberry Springs</t>
  </si>
  <si>
    <t>CA06071010300</t>
  </si>
  <si>
    <t>Southern California Gas Co - Aliso Canyon Facility</t>
  </si>
  <si>
    <t>12801 Tampa Avenue, Northridge, CA 91326</t>
  </si>
  <si>
    <t>Northridge</t>
  </si>
  <si>
    <t>CA06037920303</t>
  </si>
  <si>
    <t>New-Indy Oxnard LLC</t>
  </si>
  <si>
    <t>5936 Perkins Road, Oxnard, CA 90333</t>
  </si>
  <si>
    <t>Oxnard</t>
  </si>
  <si>
    <t>CA06111004715</t>
  </si>
  <si>
    <t>Northrop Grumman - Palmdale</t>
  </si>
  <si>
    <t>Aircraft Manufacturing</t>
  </si>
  <si>
    <t>3520 E Avenue M, Palmdale, CA 93550</t>
  </si>
  <si>
    <t>Palmdale</t>
  </si>
  <si>
    <t>CA06037980004</t>
  </si>
  <si>
    <t>Antelope Valley AQMD</t>
  </si>
  <si>
    <t>Sierra Pacific Industries (SPI) - Quincy Division</t>
  </si>
  <si>
    <t>1538 Lee Road, Quincy, CA 95971</t>
  </si>
  <si>
    <t>Quincy</t>
  </si>
  <si>
    <t>CA06063000100</t>
  </si>
  <si>
    <t>CalPortland Redding Cement Plant</t>
  </si>
  <si>
    <t>15390 Wonderland Blvd, Redding, CA 96003</t>
  </si>
  <si>
    <t>Redding</t>
  </si>
  <si>
    <t>CA06089011803</t>
  </si>
  <si>
    <t>Chevron Products Company - Richmond Refinery, 94802</t>
  </si>
  <si>
    <t>841 Chevron Way, Richmond, CA 94802</t>
  </si>
  <si>
    <t>Richmond</t>
  </si>
  <si>
    <t>CA06013378000</t>
  </si>
  <si>
    <t>California State University, San Diego</t>
  </si>
  <si>
    <t>5500 Campanile Dr, San Diego, CA 92182</t>
  </si>
  <si>
    <t>CA06073002801</t>
  </si>
  <si>
    <t>Qualcomm, Inc. - Morehouse Facility</t>
  </si>
  <si>
    <t>All Other Professional, Scientific, and Technical Services</t>
  </si>
  <si>
    <t>5555 Morehouse Dr, San Diego, CA 92121</t>
  </si>
  <si>
    <t>CA06073008346</t>
  </si>
  <si>
    <t>University of California, San Francisco</t>
  </si>
  <si>
    <t>25 Medical Center Way, San Francisco, CA 94143</t>
  </si>
  <si>
    <t>CA06075030102</t>
  </si>
  <si>
    <t>Silicon Valley Power (SVP), City of Santa Clara , Cogen</t>
  </si>
  <si>
    <t>524 Robert Avenue, Santa Clara, CA 95050</t>
  </si>
  <si>
    <t>Knauf Insulation</t>
  </si>
  <si>
    <t>3100 Ashby Road, Shasta Lake, CA 96019</t>
  </si>
  <si>
    <t>Shasta Lake</t>
  </si>
  <si>
    <t>CA06089010806</t>
  </si>
  <si>
    <t>Genentech Inc South San Francisco</t>
  </si>
  <si>
    <t>1 DNA Way, South San Francisco, CA 94080</t>
  </si>
  <si>
    <t>South San Francisco</t>
  </si>
  <si>
    <t>CA06081602300</t>
  </si>
  <si>
    <t>TRC Cypress Group, LLC</t>
  </si>
  <si>
    <t>805 Black Gold Ct, Taft, CA 93268</t>
  </si>
  <si>
    <t>Taft</t>
  </si>
  <si>
    <t>CA06029003303</t>
  </si>
  <si>
    <t xml:space="preserve">Tehachapi Cement Plant </t>
  </si>
  <si>
    <t>13573 Tehachapi Blvd, Tehachapi, CA 93561</t>
  </si>
  <si>
    <t>Tehachapi</t>
  </si>
  <si>
    <t>CA06029006004</t>
  </si>
  <si>
    <t>Land O' Lakes, Inc.</t>
  </si>
  <si>
    <t>400 South M Street, Tulare, CA 93274</t>
  </si>
  <si>
    <t>United States Pipe &amp; Foundry Co. LLC</t>
  </si>
  <si>
    <t>Iron Foundries</t>
  </si>
  <si>
    <t>1295 Whipple Road, Union City, CA 94587</t>
  </si>
  <si>
    <t>Union City</t>
  </si>
  <si>
    <t>CA06001440301</t>
  </si>
  <si>
    <t>Anheuser-Busch LLC - Los Angeles Brewery</t>
  </si>
  <si>
    <t>15800 Roscoe Blvd., Van Nuys, CA 91406</t>
  </si>
  <si>
    <t>Van Nuys</t>
  </si>
  <si>
    <t>CA06037127400</t>
  </si>
  <si>
    <t>Owens-Brockway Glass Container Inc. Vernon</t>
  </si>
  <si>
    <t>2901 Fruitland Ave, Vernon, CA 90058</t>
  </si>
  <si>
    <t>Vernon</t>
  </si>
  <si>
    <t>CA06037532400</t>
  </si>
  <si>
    <t>Cemex Construction Materials Pacific LLC - Victorville Plant</t>
  </si>
  <si>
    <t>25220 Black Mountain Quarry Road, Apple Valley, CA 92307</t>
  </si>
  <si>
    <t>Apple Valley</t>
  </si>
  <si>
    <t>CA06071012104</t>
  </si>
  <si>
    <t>LACSD - Joint Water Pollution Control Plant</t>
  </si>
  <si>
    <t>24501 S. Figueroa St, Carson, CA 90745</t>
  </si>
  <si>
    <t>CA06037543604</t>
  </si>
  <si>
    <t>Morning Star Packing Company - Los Banos</t>
  </si>
  <si>
    <t>13448 volta rd, Los Banos, CA 93635</t>
  </si>
  <si>
    <t>CA06047002100</t>
  </si>
  <si>
    <t>Liberty Packing - Los Banos (Morning Star)</t>
  </si>
  <si>
    <t>12045 S Ingomar Grade Road, Los Banos, CA 93635</t>
  </si>
  <si>
    <t>Tomatek / Neil Jones Food Companies</t>
  </si>
  <si>
    <t>2502 N Street, Firebaugh, CA 93622</t>
  </si>
  <si>
    <t>Firebaugh</t>
  </si>
  <si>
    <t>CA06019008401</t>
  </si>
  <si>
    <t>ConAgra - Oakdale</t>
  </si>
  <si>
    <t>554 South Yosemite Ave, Oakdale, CA 95351</t>
  </si>
  <si>
    <t>Oakdale</t>
  </si>
  <si>
    <t>CA06099000202</t>
  </si>
  <si>
    <t>J.G.Boswell Company - Kings Tomato</t>
  </si>
  <si>
    <t>27905 Dairy Avenue, Corcoran, CA 93212</t>
  </si>
  <si>
    <t>Corcoran</t>
  </si>
  <si>
    <t>CA06031001300</t>
  </si>
  <si>
    <t>Kern Energy (refinery)</t>
  </si>
  <si>
    <t>7724 E. Panama Lane, Bakersfield, CA 93307</t>
  </si>
  <si>
    <t>CA06029006201</t>
  </si>
  <si>
    <t>California Dairies, Inc. Tipton</t>
  </si>
  <si>
    <t>11894 Avenue 120, Tipton, CA 93272</t>
  </si>
  <si>
    <t>Tipton</t>
  </si>
  <si>
    <t>CA06107003200</t>
  </si>
  <si>
    <t>East Bay Municipal Utility District</t>
  </si>
  <si>
    <t>2020 Wake Ave, Oakland, CA 94607</t>
  </si>
  <si>
    <t>Oakland</t>
  </si>
  <si>
    <t>CA06001401700</t>
  </si>
  <si>
    <t>Air Products Manufacturing Corporation, Sacramento</t>
  </si>
  <si>
    <t>5025 83rd Street, Sacramento, CA 95826</t>
  </si>
  <si>
    <t>Vitro Flat Glass LLC</t>
  </si>
  <si>
    <t>Flat Glass Manufacturing</t>
  </si>
  <si>
    <t>3333 South Peach Ave, Fresno, CA 93725</t>
  </si>
  <si>
    <t>CA06019001500</t>
  </si>
  <si>
    <t>Kern River Cogeneration Facility</t>
  </si>
  <si>
    <t>Salinas River Cogeneration Facility</t>
  </si>
  <si>
    <t>Star Route 42, Sargents Canyon Road, San Ardo, CA 93450</t>
  </si>
  <si>
    <t>San Ardo</t>
  </si>
  <si>
    <t>CA06053011400</t>
  </si>
  <si>
    <t>Monterey</t>
  </si>
  <si>
    <t>CP Kelco San Diego</t>
  </si>
  <si>
    <t>Cyclic Crude, Intermediate, and Gum and Wood Chemical Manufacturing</t>
  </si>
  <si>
    <t>2025 East Harbor Drive, San Diego, CA 92113</t>
  </si>
  <si>
    <t>CA06073005000</t>
  </si>
  <si>
    <t>Qualcomm, Inc. - Pacific Center Facility</t>
  </si>
  <si>
    <t>5751 Pacific Center Blvd., San Diego, CA 92121</t>
  </si>
  <si>
    <t>Morning Star Packing Company - Williams</t>
  </si>
  <si>
    <t>2211 Old Hwy 99, Williams, CA 95987</t>
  </si>
  <si>
    <t>Williams</t>
  </si>
  <si>
    <t>CA06011000200</t>
  </si>
  <si>
    <t>Colusa</t>
  </si>
  <si>
    <t>Colusa County APCD</t>
  </si>
  <si>
    <t>PG&amp;E Delevan Compressor Station</t>
  </si>
  <si>
    <t>Dirks Road, No. of Co. Road D, Willows, CA 95979</t>
  </si>
  <si>
    <t>Willows</t>
  </si>
  <si>
    <t>CA06011000400</t>
  </si>
  <si>
    <t>PG&amp;E Kettleman Compressor Station</t>
  </si>
  <si>
    <t>34453 Plymouth Avenue, Avenal, CA 93204</t>
  </si>
  <si>
    <t>Avenal</t>
  </si>
  <si>
    <t>CA06031001601</t>
  </si>
  <si>
    <t>City of San Diego, Public Utilities Dept, Point Loma Treatment Plant</t>
  </si>
  <si>
    <t>1902 Gatchell Road, San Diego, CA 92106</t>
  </si>
  <si>
    <t>CA06073009901</t>
  </si>
  <si>
    <t>Lockheed Martin Aeronautics Company - Palmdale</t>
  </si>
  <si>
    <t>1011 Lockheed Way, Palmdale, CA 93599</t>
  </si>
  <si>
    <t>Foster Poultry Farms - Livingston Complex, 95334</t>
  </si>
  <si>
    <t>Poultry Processing</t>
  </si>
  <si>
    <t>843 Davis Street, Livingston, CA 95334</t>
  </si>
  <si>
    <t>CA06047000301</t>
  </si>
  <si>
    <t>The P&amp;G Paper Products Co.</t>
  </si>
  <si>
    <t>Paper (except Newsprint) Mills</t>
  </si>
  <si>
    <t>800 N. Rice Ave, Oxnard, CA 93030</t>
  </si>
  <si>
    <t>CA06111004902</t>
  </si>
  <si>
    <t>Energy Center San Francisco LLC</t>
  </si>
  <si>
    <t>460 Jessie St., San Francisco, CA 94103</t>
  </si>
  <si>
    <t>CA06075017601</t>
  </si>
  <si>
    <t>Lockheed Martin Corporation - Sunnyvale</t>
  </si>
  <si>
    <t>Guided Missile and Space Vehicle Manufacturing</t>
  </si>
  <si>
    <t>1111 Lockheed Martin Way, Sunnyvale, CA 94089</t>
  </si>
  <si>
    <t>Sunnyvale</t>
  </si>
  <si>
    <t>Pacific Coast Energy Company LP</t>
  </si>
  <si>
    <t>1555 Orcutt Hill Road, Orcutt, CA 93455</t>
  </si>
  <si>
    <t>Orcutt</t>
  </si>
  <si>
    <t>CA06083002006</t>
  </si>
  <si>
    <t>Southern California Gas Co - Blythe Facility</t>
  </si>
  <si>
    <t>13100 West 14th Avenue, Blythe, CA 92225</t>
  </si>
  <si>
    <t>Blythe</t>
  </si>
  <si>
    <t>CA06065045900</t>
  </si>
  <si>
    <t>Sierra Pacific Industries (SPI) - Lincoln</t>
  </si>
  <si>
    <t>1440 Lincoln Boulevard, Lincoln, CA 95648</t>
  </si>
  <si>
    <t>Lincoln</t>
  </si>
  <si>
    <t>CA06061023400</t>
  </si>
  <si>
    <t>Placer</t>
  </si>
  <si>
    <t>Placer County APCD</t>
  </si>
  <si>
    <t>Sierra Pacific Industries (SPI) - Shasta Lake</t>
  </si>
  <si>
    <t>3735 El Cajon Avenue, Shasta Lake, CA 96019</t>
  </si>
  <si>
    <t>CA06089011702</t>
  </si>
  <si>
    <t>Sierra Pacific Industries (SPI) - Sonora</t>
  </si>
  <si>
    <t>14980 Camage Road, Sonora, CA 95370</t>
  </si>
  <si>
    <t>Sonora</t>
  </si>
  <si>
    <t>CA06109004100</t>
  </si>
  <si>
    <t>Tuolumne</t>
  </si>
  <si>
    <t>Tuolumne County APCD</t>
  </si>
  <si>
    <t>Pixley Cogeneration Partners / Calgren Renewable Fuels</t>
  </si>
  <si>
    <t>11518 Road 120, Pixley, CA 93256</t>
  </si>
  <si>
    <t>Pixley</t>
  </si>
  <si>
    <t>CA06107004200</t>
  </si>
  <si>
    <t>Smithfield Packaged Meats Corp</t>
  </si>
  <si>
    <t>Rendering and Meat Byproduct Processing</t>
  </si>
  <si>
    <t>3049 E Vernon Ave, Vernon, CA 90058</t>
  </si>
  <si>
    <t>Wm. Bolthouse Farms, Inc.</t>
  </si>
  <si>
    <t>Perishable Prepared Food Manufacturing</t>
  </si>
  <si>
    <t>7200 East Brundage Lane, Bakersfield, CA 93307</t>
  </si>
  <si>
    <t>CA06029002301</t>
  </si>
  <si>
    <t>Avenal State Prison</t>
  </si>
  <si>
    <t>#1 Kings Way, Avenal, CA 93204</t>
  </si>
  <si>
    <t>CA06031981800</t>
  </si>
  <si>
    <t>Gold Bond Building Products, LLC - Long Beach</t>
  </si>
  <si>
    <t>1850 Pier B Street, Long Beach, CA 90813</t>
  </si>
  <si>
    <t>Long Beach</t>
  </si>
  <si>
    <t>CA06037980033</t>
  </si>
  <si>
    <t>Georgia-Pacific Gypsum LLC - Antioch</t>
  </si>
  <si>
    <t>801 Minaker Drive, Antioch, CA 94509</t>
  </si>
  <si>
    <t>Antioch</t>
  </si>
  <si>
    <t>CA06013306002</t>
  </si>
  <si>
    <t>Air Liquide El Segundo Hydrogen Plant</t>
  </si>
  <si>
    <t>324 W El Segundo Blvd, El Segundo, CA 90245</t>
  </si>
  <si>
    <t>Roseburg Forest Products</t>
  </si>
  <si>
    <t>Softwood Veneer and Plywood Manufacturing</t>
  </si>
  <si>
    <t>98 Mill St., Weed, CA 96094</t>
  </si>
  <si>
    <t>Weed</t>
  </si>
  <si>
    <t>CA06093000900</t>
  </si>
  <si>
    <t>Siskiyou</t>
  </si>
  <si>
    <t>Siskiyou County APCD</t>
  </si>
  <si>
    <t>Northeast Plateau</t>
  </si>
  <si>
    <t>Midstream Energy Partners, USA, LLC</t>
  </si>
  <si>
    <t>9224 Tupman Road, Tupman, CA 93276</t>
  </si>
  <si>
    <t>Tupman</t>
  </si>
  <si>
    <t>CA06029003204</t>
  </si>
  <si>
    <t>J. G. Boswell Company - Kern Tomato</t>
  </si>
  <si>
    <t>36889 Highway 58, Buttonwillow, CA 93206</t>
  </si>
  <si>
    <t>Buttonwillow</t>
  </si>
  <si>
    <t>Lawrence Livermore National Laboratory (LLNL)</t>
  </si>
  <si>
    <t>Reseach and Development in the Physical, Engineering, and Life Sciences (except Biotechnology)</t>
  </si>
  <si>
    <t>L-627, 7000 East Avenue, Livermore, CA 94550</t>
  </si>
  <si>
    <t>Livermore</t>
  </si>
  <si>
    <t>CA06001451101</t>
  </si>
  <si>
    <t>DeMenno/Kerdoon</t>
  </si>
  <si>
    <t>2000 North Alameda Street, Compton, CA 90222</t>
  </si>
  <si>
    <t>Compton</t>
  </si>
  <si>
    <t>CA06037541603</t>
  </si>
  <si>
    <t>Arcosa LWFP LLC</t>
  </si>
  <si>
    <t>Other Structural Clay Product Manufacturing</t>
  </si>
  <si>
    <t>17410 Lockwood Valley Road, Frazier Park, CA 93225</t>
  </si>
  <si>
    <t>Frazier Park</t>
  </si>
  <si>
    <t>CA06111000100</t>
  </si>
  <si>
    <t>Leprino Foods - Lemoore West</t>
  </si>
  <si>
    <t>351 North Belle Haven Drive, Lemoore, CA 93245</t>
  </si>
  <si>
    <t>Guardian Industries, LLC</t>
  </si>
  <si>
    <t>11535 East Mountain View Ave., Kingsburg, CA 93631</t>
  </si>
  <si>
    <t>Kingsburg</t>
  </si>
  <si>
    <t>CA06019007004</t>
  </si>
  <si>
    <t>Corteva agriscience - Pittsburg Operations</t>
  </si>
  <si>
    <t>901 Loveridge Road, Pittsburg, CA 94565</t>
  </si>
  <si>
    <t>CA06013305000</t>
  </si>
  <si>
    <t>Carlton Forge Works</t>
  </si>
  <si>
    <t>Nonferrous Forging</t>
  </si>
  <si>
    <t>7743 E. Adams St., Paramount, CA 90723</t>
  </si>
  <si>
    <t>CA06037553801</t>
  </si>
  <si>
    <t>WP&amp;A Lost Hills</t>
  </si>
  <si>
    <t>Roasted Nuts and Peanut Butter Manufacturing</t>
  </si>
  <si>
    <t>13646 Highway 33, Lost Hills, CA 93249</t>
  </si>
  <si>
    <t>Lost Hills</t>
  </si>
  <si>
    <t>CA06029004500</t>
  </si>
  <si>
    <t>Orange County Central Utility Facility</t>
  </si>
  <si>
    <t>Other General Government Support</t>
  </si>
  <si>
    <t>525 N. Flower Street, Santa Ana, CA 92703</t>
  </si>
  <si>
    <t>Santa Ana</t>
  </si>
  <si>
    <t>CA06059075002</t>
  </si>
  <si>
    <t>PG&amp;E Gerber Compressor Station</t>
  </si>
  <si>
    <t>I-5 and Chard Avenue, Gerber, CA 96035</t>
  </si>
  <si>
    <t>Gerber</t>
  </si>
  <si>
    <t>CA06103000800</t>
  </si>
  <si>
    <t>Tehama</t>
  </si>
  <si>
    <t>Tehama County APCD</t>
  </si>
  <si>
    <t>Air Liquide Large Industries US L.P. - Rodeo Hydrogen Plant</t>
  </si>
  <si>
    <t>1391 San Pablo Avenue, Rodeo, CA 94572</t>
  </si>
  <si>
    <t>Sentinel Peak Resources- AG Facility</t>
  </si>
  <si>
    <t>1821 Price Canyon Rd., San Luis Obispo, CA 93401</t>
  </si>
  <si>
    <t>CA06079011600</t>
  </si>
  <si>
    <t>Gallo Glass Company</t>
  </si>
  <si>
    <t>605 S. Santa Cruz Drive, Modesto, CA 95354</t>
  </si>
  <si>
    <t>CA06099002100</t>
  </si>
  <si>
    <t>JR Simplot Company</t>
  </si>
  <si>
    <t>Nitrogenous Fertilizer Manufacturing</t>
  </si>
  <si>
    <t>12688 S. Colorado Avenue, Helm, CA 93627</t>
  </si>
  <si>
    <t>Helm</t>
  </si>
  <si>
    <t>CA06019008200</t>
  </si>
  <si>
    <t>Tricor Refining, LLC</t>
  </si>
  <si>
    <t>1134 Manor Street, Bakersfield, CA 93308</t>
  </si>
  <si>
    <t>High Sierra Cogeneration</t>
  </si>
  <si>
    <t>711-045 Center Rd., Susanville, CA 96130</t>
  </si>
  <si>
    <t>Susanville</t>
  </si>
  <si>
    <t>CA06035040400</t>
  </si>
  <si>
    <t>Lassen</t>
  </si>
  <si>
    <t>Lassen County APCD</t>
  </si>
  <si>
    <t>Chevron AAPG 740 Coastal Basin</t>
  </si>
  <si>
    <t>6001 Bollinger Canyon Rd., San Ramon, CA 94583</t>
  </si>
  <si>
    <t>San Ramon</t>
  </si>
  <si>
    <t>Chevron AAPG 745 San Joaquin Basin</t>
  </si>
  <si>
    <t>California Resources Elk Hills, LLC - 35R Gas Plant</t>
  </si>
  <si>
    <t>28590 Highway 119, Tupman, CA 93276</t>
  </si>
  <si>
    <t>Aera Energy San Joaquin Basin</t>
  </si>
  <si>
    <t>10000 Ming Avenue, Bakersfield, CA 93311</t>
  </si>
  <si>
    <t>CA06029002806</t>
  </si>
  <si>
    <t>Aera Energy Ventura Basin</t>
  </si>
  <si>
    <t>3382 N Ventura Ave, Ventura, CA 93301</t>
  </si>
  <si>
    <t>CA06111002300</t>
  </si>
  <si>
    <t>Aera Energy Coastal Basins</t>
  </si>
  <si>
    <t>66893 Sargent Road, San Ardo, CA 93450</t>
  </si>
  <si>
    <t>PG&amp;E McDonald Island Underground Storage Station</t>
  </si>
  <si>
    <t>2121 N. Zuckerman Road, Stockton, CA 95206</t>
  </si>
  <si>
    <t>Stockton</t>
  </si>
  <si>
    <t>CA06077003900</t>
  </si>
  <si>
    <t>PG&amp;E Burney Compressor Station</t>
  </si>
  <si>
    <t>37667 East Highway 299, Burney, CA 96013</t>
  </si>
  <si>
    <t>PG&amp;E Tionesta Compressor Station</t>
  </si>
  <si>
    <t>Road 97, 4 Miles West of Highway 139, Tionesta, CA 96015</t>
  </si>
  <si>
    <t>Tionesta</t>
  </si>
  <si>
    <t>CA06049000200</t>
  </si>
  <si>
    <t>Modoc</t>
  </si>
  <si>
    <t>Modoc County APCD</t>
  </si>
  <si>
    <t>California Resources Production Corporation - Sacramento Valley Basin 730</t>
  </si>
  <si>
    <t>2692 Amerada Road, Rio Vista, CA 94571</t>
  </si>
  <si>
    <t>Rio Vista</t>
  </si>
  <si>
    <t>CA06095253500</t>
  </si>
  <si>
    <t>California Resources Production Corporation - San Joaquin Valley Basin 745</t>
  </si>
  <si>
    <t>9522 Oilfield Road, Bakersfield, CA 93308</t>
  </si>
  <si>
    <t>CALNRG - Ventura Basin 755 incl. SCVGP Gas Plant</t>
  </si>
  <si>
    <t>3824 Guiberson Raod, Piru, CA 93040</t>
  </si>
  <si>
    <t>Piru</t>
  </si>
  <si>
    <t>CA06111000200</t>
  </si>
  <si>
    <t>Naval Medical Center - San Diego</t>
  </si>
  <si>
    <t>34800 Bob Wilson Drive, San Diego, CA 92134</t>
  </si>
  <si>
    <t>CA06073005500</t>
  </si>
  <si>
    <t>Lhoist North America - Natividad Plant</t>
  </si>
  <si>
    <t>Lime Manufacturing</t>
  </si>
  <si>
    <t>11771 Old Stage Road, Salinas, CA 93908</t>
  </si>
  <si>
    <t>Salinas</t>
  </si>
  <si>
    <t>CA06053010606</t>
  </si>
  <si>
    <t>UC Davis Medical Center</t>
  </si>
  <si>
    <t>General Medical and Surgical Hospitals</t>
  </si>
  <si>
    <t>2315 Stockton Blvd., Sacramento, CA 95817</t>
  </si>
  <si>
    <t>CA06067001700</t>
  </si>
  <si>
    <t>Olam West Coast, Inc. - Firebaugh</t>
  </si>
  <si>
    <t>47461 W. Nees Ave., Firebaugh, CA 93622</t>
  </si>
  <si>
    <t>CA06019008402</t>
  </si>
  <si>
    <t>California Resources Production Corporation - 760 Los Angeles Basin</t>
  </si>
  <si>
    <t>111 W. Ocean Blvd, Long Beach, CA 90802</t>
  </si>
  <si>
    <t>CA06037576001</t>
  </si>
  <si>
    <t>WG Holdings SPV, LLC - Los Angeles Basin Facility</t>
  </si>
  <si>
    <t>515 South Flower Street 4800, Los Angeles, CA 90071</t>
  </si>
  <si>
    <t>CA06037207710</t>
  </si>
  <si>
    <t>Sentinel Peak Resources - SJV Basin Facility</t>
  </si>
  <si>
    <t>3252 Crocker Springs Road, Fellows, CA 93224</t>
  </si>
  <si>
    <t>Fellows</t>
  </si>
  <si>
    <t>Signal Hill Petroleum Facilities</t>
  </si>
  <si>
    <t>1215 East 29th Street, Signal Hill, CA 90755</t>
  </si>
  <si>
    <t>Signal Hill</t>
  </si>
  <si>
    <t>CA06037573402</t>
  </si>
  <si>
    <t>Berry Petroleum Company - San Joaquin Basin</t>
  </si>
  <si>
    <t>28700 Hovey Hills Road, Maricopa, CA 93268</t>
  </si>
  <si>
    <t>Maricopa</t>
  </si>
  <si>
    <t>Naftex Operating Company</t>
  </si>
  <si>
    <t>14333 Breckenridge Rd., Bakersfield, CA 93307</t>
  </si>
  <si>
    <t>CA06029001000</t>
  </si>
  <si>
    <t>Leprino Foods - Tracy</t>
  </si>
  <si>
    <t>2401 Mac Arthur Drive, Tracy, CA 95376</t>
  </si>
  <si>
    <t>CA06077005302</t>
  </si>
  <si>
    <t>Leprino Foods - Lemoore East</t>
  </si>
  <si>
    <t>490 F street, Lemoore, CA 93245</t>
  </si>
  <si>
    <t>CA06031000404</t>
  </si>
  <si>
    <t>Johns Manville</t>
  </si>
  <si>
    <t>5916 Country Road 49, Willows, CA 95988</t>
  </si>
  <si>
    <t>CA06021010300</t>
  </si>
  <si>
    <t>Glenn</t>
  </si>
  <si>
    <t>Glenn County APCD</t>
  </si>
  <si>
    <t>California Paperboard Corporation</t>
  </si>
  <si>
    <t>525 Mathew Street, Santa Clara, CA 95050</t>
  </si>
  <si>
    <t>Newark Pacific Paperboard</t>
  </si>
  <si>
    <t>6001 S Eastern Ave, Los Angeles, CA 90040</t>
  </si>
  <si>
    <t>CA06037533703</t>
  </si>
  <si>
    <t>Del Monte - Modesto</t>
  </si>
  <si>
    <t>4000 Yosemite Blvd, Modesto, CA 95357</t>
  </si>
  <si>
    <t>CA06099002002</t>
  </si>
  <si>
    <t>Bayer Healthcare</t>
  </si>
  <si>
    <t>800 Dwight Way, Berkeley, CA 94710</t>
  </si>
  <si>
    <t>Berkeley</t>
  </si>
  <si>
    <t>CA06001422000</t>
  </si>
  <si>
    <t>University of California, Riverside, UCR</t>
  </si>
  <si>
    <t>900 University Avenue, Riverside, CA 92521</t>
  </si>
  <si>
    <t>CA06065046500</t>
  </si>
  <si>
    <t>Quemetco, Inc.</t>
  </si>
  <si>
    <t>Secondary Smelting, Refining, and Alloying of Nonferrous Metal (except Copper and Aluminum)</t>
  </si>
  <si>
    <t>720 South 7th Avenue, City of Industry, CA 91746</t>
  </si>
  <si>
    <t>City of Industry</t>
  </si>
  <si>
    <t>CA06037408202</t>
  </si>
  <si>
    <t>Richard J Donovan Correctional Facility</t>
  </si>
  <si>
    <t>480 Alta Road, San Diego, CA 92179</t>
  </si>
  <si>
    <t>CA06073010014</t>
  </si>
  <si>
    <t>Campbell Soup Supply Company, L.L.C. - Stockton</t>
  </si>
  <si>
    <t>760 Industrial Drive, Stockton, CA 95206</t>
  </si>
  <si>
    <t>CA06077000100</t>
  </si>
  <si>
    <t>Escalon Premier Brands, a Division of Kraft Heinz Company</t>
  </si>
  <si>
    <t>1905 McHenry Avenue, Escalon, CA 95320</t>
  </si>
  <si>
    <t>Escalon</t>
  </si>
  <si>
    <t>CA06077004901</t>
  </si>
  <si>
    <t>SFPP L.P. - Colton Terminal</t>
  </si>
  <si>
    <t>Other Warehousing and Storage</t>
  </si>
  <si>
    <t>2359 S Riverside Ave, Bloomington, CA 92316</t>
  </si>
  <si>
    <t>Bloomington</t>
  </si>
  <si>
    <t>CA06071004004</t>
  </si>
  <si>
    <t>Edwards Air Force Base</t>
  </si>
  <si>
    <t>12 Laboratory Road, Edwards, CA 93524</t>
  </si>
  <si>
    <t>Edwards</t>
  </si>
  <si>
    <t>CA06029005700</t>
  </si>
  <si>
    <t>Vandenberg Space Force Base</t>
  </si>
  <si>
    <t>1028 Iceland Ave, Building 11146, Vandenberg AFB, CA 93437</t>
  </si>
  <si>
    <t>Vandenberg AFB</t>
  </si>
  <si>
    <t>CA06083002606</t>
  </si>
  <si>
    <t>Frito Lay - Modesto</t>
  </si>
  <si>
    <t>600 Garner Road, Modesto, CA 95357</t>
  </si>
  <si>
    <t>Naval Air Weapons Station China Lake</t>
  </si>
  <si>
    <t>429 Bowen Rd, Stop 4014, China Lake, CA 93555-6108</t>
  </si>
  <si>
    <t>China Lake</t>
  </si>
  <si>
    <t>CA06029005300</t>
  </si>
  <si>
    <t>E&amp;B Natural Resources - San Joaquin Valley</t>
  </si>
  <si>
    <t>3000 James Rd., Bakersfield, CA 93308</t>
  </si>
  <si>
    <t>John Wayne Airport Orange County</t>
  </si>
  <si>
    <t>18601 Airport Drive, Santa Ana, CA 92707</t>
  </si>
  <si>
    <t>CA06059062610</t>
  </si>
  <si>
    <t>Southern California Gas Co - Wheeler Ridge Compressor Station</t>
  </si>
  <si>
    <t>9530 Highway 166, Mettler, CA 93313</t>
  </si>
  <si>
    <t>Mettler</t>
  </si>
  <si>
    <t>SDG&amp;E - Moreno Compressor Station</t>
  </si>
  <si>
    <t>14601 Virginia Street, Moreno Valley, CA 92555</t>
  </si>
  <si>
    <t>Moreno Valley</t>
  </si>
  <si>
    <t>CA06065042624</t>
  </si>
  <si>
    <t>J.G. Boswell Company West Processing Townsite</t>
  </si>
  <si>
    <t>Other Oilseed Processing</t>
  </si>
  <si>
    <t>710 Bainum Ave, Corcoran, CA 93212</t>
  </si>
  <si>
    <t>Northrop Grumman Marine Systems - Sunnyvale</t>
  </si>
  <si>
    <t>Speed Changer, Industrial High-Speed Drive, and Gear Manufacturing</t>
  </si>
  <si>
    <t>401 East Hendy Ave., MS 16-1, Sunnyvale, CA 94088</t>
  </si>
  <si>
    <t>MP Mine Operations LLC</t>
  </si>
  <si>
    <t>All Other Metal Ore Mining</t>
  </si>
  <si>
    <t>67750 Bailey Road, Mountain Pass, CA 92366</t>
  </si>
  <si>
    <t>Mountain Pass</t>
  </si>
  <si>
    <t>Northrop Grumman Systems Corp. - Redondo Beach</t>
  </si>
  <si>
    <t>One Space Park, Redondo Beach, CA 90278</t>
  </si>
  <si>
    <t>Redondo Beach</t>
  </si>
  <si>
    <t>CA06037620501</t>
  </si>
  <si>
    <t>Shell Chemical LP - Martinez Catalyst Plant</t>
  </si>
  <si>
    <t>10 Mococo Road, Martinez, CA 94553</t>
  </si>
  <si>
    <t>Shultz Steel Company</t>
  </si>
  <si>
    <t>Iron and Steel Forging</t>
  </si>
  <si>
    <t>5321 Firestone Blvd., South Gate, CA 90280</t>
  </si>
  <si>
    <t>CA06037536104</t>
  </si>
  <si>
    <t>City of San Diego, Public Utilities Dept, Pump Station 2</t>
  </si>
  <si>
    <t>Administration of Air and Water Resource and Solid Waste Management Programs</t>
  </si>
  <si>
    <t>4077 North Harbor Dr., San Diego, CA 92101</t>
  </si>
  <si>
    <t>CA06073021400</t>
  </si>
  <si>
    <t>Baker Commodities, Inc., Kerman Division</t>
  </si>
  <si>
    <t>16801 Jensen Avenue, Kerman, CA 93630</t>
  </si>
  <si>
    <t>Kerman</t>
  </si>
  <si>
    <t>CA06019003900</t>
  </si>
  <si>
    <t>Darling Ingredients Inc - Los Angeles</t>
  </si>
  <si>
    <t>2626 East 26th Street, Los Angeles, CA 90058</t>
  </si>
  <si>
    <t>CA06037206031</t>
  </si>
  <si>
    <t>Darling Ingredients Inc - Fresno</t>
  </si>
  <si>
    <t>795 West Belgravia, Fresno, CA 93706</t>
  </si>
  <si>
    <t>CA06019000800</t>
  </si>
  <si>
    <t>Darling Ingredients Inc - Turlock</t>
  </si>
  <si>
    <t>11946 Carpenter Road, Crow's Landing, CA 95313</t>
  </si>
  <si>
    <t>Crows Landing</t>
  </si>
  <si>
    <t>CA06099003100</t>
  </si>
  <si>
    <t>Shell Catalysts &amp; Technologies</t>
  </si>
  <si>
    <t>2840 Willow Pass Rd, Pittsburg, CA 94565</t>
  </si>
  <si>
    <t>CA06013314103</t>
  </si>
  <si>
    <t>All American Asphalt - Corona</t>
  </si>
  <si>
    <t>Asphalt Paving Mixture and Block Manufacturing</t>
  </si>
  <si>
    <t>1776 All American Way, Corona, CA 92879</t>
  </si>
  <si>
    <t>CA06065041409</t>
  </si>
  <si>
    <t>Aemetis Advanced Fuels Keyes, Inc.</t>
  </si>
  <si>
    <t>Ethyl Alcohol Manufacturing</t>
  </si>
  <si>
    <t>4209 Jessup Road, Ceres, CA 95307</t>
  </si>
  <si>
    <t>Ceres</t>
  </si>
  <si>
    <t>CA06099003002</t>
  </si>
  <si>
    <t>Custom Alloy Sales, Inc.</t>
  </si>
  <si>
    <t>13329 Ector St., Industry, CA 91746</t>
  </si>
  <si>
    <t>CA06037407002</t>
  </si>
  <si>
    <t>California State University, Fullerton</t>
  </si>
  <si>
    <t>800 N State College Blvd, Fullerton, CA 92831</t>
  </si>
  <si>
    <t>Fullerton</t>
  </si>
  <si>
    <t>CA06059011503</t>
  </si>
  <si>
    <t>California Natural Products</t>
  </si>
  <si>
    <t>Fluid Milk Manufacturing</t>
  </si>
  <si>
    <t>1250 E Lathrop Rd, Lathrop, CA 95330</t>
  </si>
  <si>
    <t>Lathrop</t>
  </si>
  <si>
    <t>CA06077005119</t>
  </si>
  <si>
    <t xml:space="preserve">Lactalis Heritage Dairy, Inc. </t>
  </si>
  <si>
    <t>10800 Ave 184, Tulare, CA 93274</t>
  </si>
  <si>
    <t>CA06107003100</t>
  </si>
  <si>
    <t>Kaweah Delta Medical Center</t>
  </si>
  <si>
    <t>400 W Mineralking Ave., Visalia, CA 93291</t>
  </si>
  <si>
    <t>CA06107001200</t>
  </si>
  <si>
    <t>3M Corona</t>
  </si>
  <si>
    <t>Other Crushed and Broken Stone Mining and Quarrying</t>
  </si>
  <si>
    <t>18750 Minnesota Road, Corona, CA 92881</t>
  </si>
  <si>
    <t>CA06065041909</t>
  </si>
  <si>
    <t>Saint Agnes Medical Center</t>
  </si>
  <si>
    <t>1303 E Herndon Ave, Fresno, CA 92720</t>
  </si>
  <si>
    <t>CA06019005406</t>
  </si>
  <si>
    <t>Schlosser Forge Company</t>
  </si>
  <si>
    <t>11711 Arrow Route, Cucamonga, CA 91730</t>
  </si>
  <si>
    <t>Cucamonga</t>
  </si>
  <si>
    <t>CA06071002110</t>
  </si>
  <si>
    <t>Windset Farms</t>
  </si>
  <si>
    <t>Other Food Crops Grown Under Cover</t>
  </si>
  <si>
    <t>1650 Black Road, Santa Maria, CA 93458</t>
  </si>
  <si>
    <t>Santa Maria</t>
  </si>
  <si>
    <t>CA06083002402</t>
  </si>
  <si>
    <t>Western Digital Technologies, Inc.</t>
  </si>
  <si>
    <t>Computer Storage Device Manufacturing</t>
  </si>
  <si>
    <t>5601 Great Oaks Parkway, San Jose, CA 95119</t>
  </si>
  <si>
    <t>CA06085512033</t>
  </si>
  <si>
    <t>University of Southern California (USC) - University Park Campus (UPC)</t>
  </si>
  <si>
    <t>McClintock W 34th Vhilds Street, Los Angeles, CA 90089</t>
  </si>
  <si>
    <t>CA06037222700</t>
  </si>
  <si>
    <t>California Polytechnic State University</t>
  </si>
  <si>
    <t>1 Grand Ave Building 80, San Luis Obispo, CA 93407</t>
  </si>
  <si>
    <t>CA06079010901</t>
  </si>
  <si>
    <t>Weber Metals</t>
  </si>
  <si>
    <t>16706 Garfield Ave, Paramount, CA 90723</t>
  </si>
  <si>
    <t>CA06037553802</t>
  </si>
  <si>
    <t>GH Camarillo, LLC</t>
  </si>
  <si>
    <t>645 W. Laguna Rd., Camarillo, CA 93012</t>
  </si>
  <si>
    <t>CA06111005600</t>
  </si>
  <si>
    <t>San Francisco International Airport (SFO)</t>
  </si>
  <si>
    <t>Scheduled Passenger Air Transportation</t>
  </si>
  <si>
    <t>P.O. Box 8097, San Francisco, CA 94128</t>
  </si>
  <si>
    <t>Hoag Memorial Hospital Presbyterian</t>
  </si>
  <si>
    <t>1HOAG DR, NEWPORT BEACH, CA 92663-4162</t>
  </si>
  <si>
    <t>Newport Beach</t>
  </si>
  <si>
    <t>CA06059063603</t>
  </si>
  <si>
    <t>Northrop Grumman Systems Corp. - El Segundo</t>
  </si>
  <si>
    <t>One Hornet Way, PA12/W2, El Segundo, CA 90245</t>
  </si>
  <si>
    <t>CA06037980013</t>
  </si>
  <si>
    <t>Steelscape Inc.</t>
  </si>
  <si>
    <t>Metal Coating, Engraving (except Jewelry and Silverware), and Allied Services to Manufacturers</t>
  </si>
  <si>
    <t>11200 Arrow Route, Rancho Cucamonga, CA 90730</t>
  </si>
  <si>
    <t>Rancho Cucamonga</t>
  </si>
  <si>
    <t>University of California Santa Barbara</t>
  </si>
  <si>
    <t>University of California, Santa Barbara, Santa Barbara, CA 93106</t>
  </si>
  <si>
    <t>CA06083002922</t>
  </si>
  <si>
    <t>Eisenhower Medical Center</t>
  </si>
  <si>
    <t>39000 Bob Hope Drive, Rancho Mirage, CA 92270</t>
  </si>
  <si>
    <t>Rancho Mirage</t>
  </si>
  <si>
    <t>CA06065044918</t>
  </si>
  <si>
    <t>Kaiser Aluminum Fabricated Products, LLC</t>
  </si>
  <si>
    <t>6250 E. Bandini Blvd., Los Angeles, CA 90040-3168</t>
  </si>
  <si>
    <t>CA06037532304</t>
  </si>
  <si>
    <t>Huntington Memorial Hospital</t>
  </si>
  <si>
    <t>100 West California Blvd., Pasadena, CA 91105</t>
  </si>
  <si>
    <t>CA06037463900</t>
  </si>
  <si>
    <t>Olive View Medical Center, Los Angeles County Department of Health Services</t>
  </si>
  <si>
    <t>Facilities 14445 Olive View Drive, Sylmar, CA 91342</t>
  </si>
  <si>
    <t>Sylmar</t>
  </si>
  <si>
    <t>CA06037106010</t>
  </si>
  <si>
    <t>Azteca Milling, L.P.</t>
  </si>
  <si>
    <t>Flour Milling</t>
  </si>
  <si>
    <t>23865 Ave 18, Madera, CT 93638</t>
  </si>
  <si>
    <t>CA06039000506</t>
  </si>
  <si>
    <t>San Francisco General Hospital</t>
  </si>
  <si>
    <t>1001 Potrero Ave, San Francisco, CA 94110</t>
  </si>
  <si>
    <t>CA06075022802</t>
  </si>
  <si>
    <t>PABCO Paper</t>
  </si>
  <si>
    <t>4460 Pacific Blvd, Vernon, CA 90058</t>
  </si>
  <si>
    <t>Maruchan, Inc. - Laguna Canyon</t>
  </si>
  <si>
    <t>Dry Pasta, Dough, and Flour Mixes Manufacturing from Purchased Flour</t>
  </si>
  <si>
    <t>15800 Laguna Canyon Road, Irvine, CA 92618</t>
  </si>
  <si>
    <t>CA06059052518</t>
  </si>
  <si>
    <t>Rady Children's Hospital San Diego</t>
  </si>
  <si>
    <t>Specialty (except Psychiatric and Substance Abuse) Hospitals</t>
  </si>
  <si>
    <t>3020 Childrens Way, San Diego, CA 92123</t>
  </si>
  <si>
    <t>CA06073008702</t>
  </si>
  <si>
    <t>Wild Goose Storage LLC</t>
  </si>
  <si>
    <t>2780 West Liberty Rd., Grildey, CA 95948</t>
  </si>
  <si>
    <t>Grildey</t>
  </si>
  <si>
    <t>CA06007003502</t>
  </si>
  <si>
    <t>Butte</t>
  </si>
  <si>
    <t>Butte County AQMD</t>
  </si>
  <si>
    <t>Children's Hospital Los Angeles</t>
  </si>
  <si>
    <t>4650 Sunset Blvd., Los Angeles, CA 90027</t>
  </si>
  <si>
    <t>CA06037191302</t>
  </si>
  <si>
    <t>Press Forge Co</t>
  </si>
  <si>
    <t>7700 Jackson Street, Paramount, CA 90723</t>
  </si>
  <si>
    <t>Saputo Cheese USA Inc.- Levin</t>
  </si>
  <si>
    <t>901 Levin Avenue, Tulare, CA 93274</t>
  </si>
  <si>
    <t>CA06107003002</t>
  </si>
  <si>
    <t>Mira Loma Metal Container Corp</t>
  </si>
  <si>
    <t>Metal Can Manufacturing</t>
  </si>
  <si>
    <t>10980 Inland Ave, Mira Loma, CA 91752</t>
  </si>
  <si>
    <t>Mira Loma</t>
  </si>
  <si>
    <t>CA06065040503</t>
  </si>
  <si>
    <t>San Benito Foods</t>
  </si>
  <si>
    <t>110 Hawkins Street, Hollister, CA 95023</t>
  </si>
  <si>
    <t>Hollister</t>
  </si>
  <si>
    <t>CA06069000400</t>
  </si>
  <si>
    <t>San Benito</t>
  </si>
  <si>
    <t>NASA Ames Research Center</t>
  </si>
  <si>
    <t>Space Research and Technology</t>
  </si>
  <si>
    <t>P.O.Box 1, Mailstop 204-15, Moffett Field, CA 94035</t>
  </si>
  <si>
    <t>Moffett Field</t>
  </si>
  <si>
    <t>CA06085504700</t>
  </si>
  <si>
    <t>Naval Air Station Lemoore</t>
  </si>
  <si>
    <t>750 Enterprise Ave. Rm. 107, Lemoore, CA 93246</t>
  </si>
  <si>
    <t>CA06031000300</t>
  </si>
  <si>
    <t>State of California Central Utility Plant - General Services</t>
  </si>
  <si>
    <t>625 Q Street, Sacramento, CA 95811</t>
  </si>
  <si>
    <t>CA06067000800</t>
  </si>
  <si>
    <t>California Dairies, Inc. Los Banos</t>
  </si>
  <si>
    <t>P.O. Box 2198, 1155 E. Pacheco Blvd., Los Banos, CA 93635-2198</t>
  </si>
  <si>
    <t>CA06047002301</t>
  </si>
  <si>
    <t>Gold Bond Building Products, LLC - Richmond</t>
  </si>
  <si>
    <t>1040 Canal Blvd, Richmond, CA 94804</t>
  </si>
  <si>
    <t>PABCO Clay Products, LLC, dba Gladding McBean</t>
  </si>
  <si>
    <t>601 7th Street, Lincoln, CA 95648</t>
  </si>
  <si>
    <t>CA06061021401</t>
  </si>
  <si>
    <t>Nong Shim America, Inc.</t>
  </si>
  <si>
    <t>12155 6th Street, Rancho Cucamonga, CA 91730</t>
  </si>
  <si>
    <t>CA06071002207</t>
  </si>
  <si>
    <t>K2 Pure Solutions, Inc</t>
  </si>
  <si>
    <t>Other Basic Inorganic Chemical Manufacturing</t>
  </si>
  <si>
    <t>950 Loveridge Road, Pittsburg, CA 94565</t>
  </si>
  <si>
    <t>Procter &amp; Gamble Manufacturing Co. - Sacramento Plant</t>
  </si>
  <si>
    <t>8201 Fruitridge Road, Sacramento, CA 95826</t>
  </si>
  <si>
    <t>Lodi Compressor Station</t>
  </si>
  <si>
    <t>23265 N State Route 99, Acampo, CA 95220</t>
  </si>
  <si>
    <t>Acampo</t>
  </si>
  <si>
    <t>CA06077004600</t>
  </si>
  <si>
    <t>Kirby Hills Compressor Station</t>
  </si>
  <si>
    <t>2655 Shiloh Road, Suisun City, CA 94585</t>
  </si>
  <si>
    <t>Suisun City</t>
  </si>
  <si>
    <t>Holmes Western Oil Corporation</t>
  </si>
  <si>
    <t>4300 Midway Rd., Taft, CA 93268</t>
  </si>
  <si>
    <t>CA06029003400</t>
  </si>
  <si>
    <t>Diamond Pet Food Processors of California, LLC - Lathrop</t>
  </si>
  <si>
    <t>Dog and Cat Food Manufacturing</t>
  </si>
  <si>
    <t>250 East Roth Road, Lathrop, CA 95330</t>
  </si>
  <si>
    <t>Saint Bernardine Medical Center</t>
  </si>
  <si>
    <t>2101 N Waterman ave, San Bernardino, CA 92404</t>
  </si>
  <si>
    <t>CA06071006301</t>
  </si>
  <si>
    <t>Valero Wilmington Asphalt Plant</t>
  </si>
  <si>
    <t>1651 Alameda Street, Wilmington, CA 90744</t>
  </si>
  <si>
    <t>CA06037294120</t>
  </si>
  <si>
    <t>Nor-Cal Beverage Company, Inc. - Anaheim</t>
  </si>
  <si>
    <t>Soft Drink Manufacturing</t>
  </si>
  <si>
    <t>1226 N. Olive St., Anaheim, CA 92801</t>
  </si>
  <si>
    <t>CA06059086502</t>
  </si>
  <si>
    <t>Cat Canyon Resources 750 Santa Maria Basin</t>
  </si>
  <si>
    <t>6085 Cat Canyon Road, Santa Maria, CA 93454</t>
  </si>
  <si>
    <t>ExxonMobil LFC Facility</t>
  </si>
  <si>
    <t>12000 Calle Real, Goleta, CA 93117</t>
  </si>
  <si>
    <t>Goleta</t>
  </si>
  <si>
    <t>CA06083002932</t>
  </si>
  <si>
    <t>CMO Inc</t>
  </si>
  <si>
    <t>19100 7Th Standard Rd, McKittrick, CA 93251</t>
  </si>
  <si>
    <t>Ampine: A Division of Timber Products</t>
  </si>
  <si>
    <t>Reconstituted Wood Product Manufacturing</t>
  </si>
  <si>
    <t>11300 Ridge Road, Martell, CA 95654</t>
  </si>
  <si>
    <t>Martell</t>
  </si>
  <si>
    <t>CA06005000303</t>
  </si>
  <si>
    <t>Amador</t>
  </si>
  <si>
    <t>Amador County APCD</t>
  </si>
  <si>
    <t>Crimson Resource Management Corp</t>
  </si>
  <si>
    <t>5001 California Avenue, #206, Bakersfield, CA 93309</t>
  </si>
  <si>
    <t>CA06029001801</t>
  </si>
  <si>
    <t>University of California, Berkeley</t>
  </si>
  <si>
    <t>317 University Hall #1150, Berkeley, CA 94720</t>
  </si>
  <si>
    <t>CA06001422900</t>
  </si>
  <si>
    <t>Tesla, Inc.</t>
  </si>
  <si>
    <t>Automobile Manufacturing</t>
  </si>
  <si>
    <t>45500 Fremont boulevard, Fremont, CA 94538</t>
  </si>
  <si>
    <t>Fremont</t>
  </si>
  <si>
    <t>CA06001441503</t>
  </si>
  <si>
    <t>Clean Energy</t>
  </si>
  <si>
    <t>14436 Contractor Road, Boron, CA 93516</t>
  </si>
  <si>
    <t>JP Oil</t>
  </si>
  <si>
    <t>19051 Shafter Avenue, Shafter, CA 93263</t>
  </si>
  <si>
    <t>CA06029003900</t>
  </si>
  <si>
    <t>Crystal Creamery, Inc.</t>
  </si>
  <si>
    <t>415 Kansas Ave., Modesto, CA 95351</t>
  </si>
  <si>
    <t>CA06099000602</t>
  </si>
  <si>
    <t>City of San Diego, Public Utilities Dept, North City Water Reclamation Plant</t>
  </si>
  <si>
    <t>4949 Eastgate Mall, San Diego, CA 92121</t>
  </si>
  <si>
    <t>CA06073008350</t>
  </si>
  <si>
    <t xml:space="preserve">Foster Farms Porterville Plant </t>
  </si>
  <si>
    <t>770 N. Plano Street, Porterville, CA 93257</t>
  </si>
  <si>
    <t>Porterville</t>
  </si>
  <si>
    <t>CA06107003902</t>
  </si>
  <si>
    <t>Genentech - Vacaville</t>
  </si>
  <si>
    <t>1000 New Horizons Way, Vacaville, CA 95688</t>
  </si>
  <si>
    <t>Vacaville</t>
  </si>
  <si>
    <t>CA06095252904</t>
  </si>
  <si>
    <t>Los Angeles General Medical Center</t>
  </si>
  <si>
    <t>1358 N. Mission Rd., Los Angeles, CA 90033</t>
  </si>
  <si>
    <t>CA06037203300</t>
  </si>
  <si>
    <t>Hood Dairy</t>
  </si>
  <si>
    <t>8340 Belvedere Ave, Sacramento, CA 95826</t>
  </si>
  <si>
    <t>CALNRG - Lynch Canyon Field</t>
  </si>
  <si>
    <t>63223 Deamd Mans Gulch Rd., San Ardo, CA 93450</t>
  </si>
  <si>
    <t>Newport Fab, LLC (DBA TowerJazz Semiconductor)</t>
  </si>
  <si>
    <t>4321, Newport Beach, CA 92660</t>
  </si>
  <si>
    <t>Matsui Nursery, Inc.</t>
  </si>
  <si>
    <t>Floriculture Production</t>
  </si>
  <si>
    <t>1645 Old Stage Road, Salinas, CA 93908</t>
  </si>
  <si>
    <t>CA06053014800</t>
  </si>
  <si>
    <t>Sierra Aluminum, a Division of Samuel, Son &amp; Co. (USA) Inc.</t>
  </si>
  <si>
    <t>Other Aluminum Rolling, Drawing, and Extruding</t>
  </si>
  <si>
    <t>2345 Fleetwood Drive, Riverside, CA 92509</t>
  </si>
  <si>
    <t>CA06065040101</t>
  </si>
  <si>
    <t>Sharp Grossmont Hospital</t>
  </si>
  <si>
    <t>5555 Grossmont Center Drive, La Mesa, CA 91942</t>
  </si>
  <si>
    <t>La Mesa</t>
  </si>
  <si>
    <t>CA06073015000</t>
  </si>
  <si>
    <t>Pacific Clay Products</t>
  </si>
  <si>
    <t>Clay Building Material and Refractories Manufacturing</t>
  </si>
  <si>
    <t>14741 Lake Street, Lake Elsionre, CA 92530</t>
  </si>
  <si>
    <t>Lake Elsionre</t>
  </si>
  <si>
    <t>CA06065043001</t>
  </si>
  <si>
    <t>VA Greater Los Angeles Healthcare System</t>
  </si>
  <si>
    <t>HMO Medical Centers</t>
  </si>
  <si>
    <t>11301 Wilshire Blvd, Los Angeles, CA 90073</t>
  </si>
  <si>
    <t>CA06037264301</t>
  </si>
  <si>
    <t>WWF Operating Company, LLC</t>
  </si>
  <si>
    <t>18275 Arenth Avenue, City of Industry, CA 91748</t>
  </si>
  <si>
    <t>CA06037408211</t>
  </si>
  <si>
    <t>Timber Products Company Yreka Veneer</t>
  </si>
  <si>
    <t>130 N Phillipe Lane, Yreka, CA 96097</t>
  </si>
  <si>
    <t>Yreka</t>
  </si>
  <si>
    <t>CA06093000701</t>
  </si>
  <si>
    <t>Baker Commodities, Inc., Vernon Division</t>
  </si>
  <si>
    <t>4020 Bandini Blvd, Vernon, CA 90058</t>
  </si>
  <si>
    <t>Santa Clara Valley Medical Center</t>
  </si>
  <si>
    <t>751 S. Bascom Ave., San Jose, CA 95128</t>
  </si>
  <si>
    <t>CA06085502001</t>
  </si>
  <si>
    <t xml:space="preserve">Mission Bell Winery </t>
  </si>
  <si>
    <t>12667 Road 24, Madera, CA 93637</t>
  </si>
  <si>
    <t>Sacramento Rendering Company</t>
  </si>
  <si>
    <t>11350 Kiefer Blvd, Sacramento, CA 95830-9498</t>
  </si>
  <si>
    <t>CA06067008600</t>
  </si>
  <si>
    <t>Matchmaster Dyeing &amp; Finishing</t>
  </si>
  <si>
    <t>Textile and Fabric Finishing Mills</t>
  </si>
  <si>
    <t>3700 South Broadway, Los Angeles, CO 90007</t>
  </si>
  <si>
    <t>CA06037231100</t>
  </si>
  <si>
    <t>Stanford University</t>
  </si>
  <si>
    <t>3160 Porter Drive, Palo Alto, CA 94304</t>
  </si>
  <si>
    <t>Palo Alto</t>
  </si>
  <si>
    <t>CA06085513000</t>
  </si>
  <si>
    <t>E &amp; J Gallo Winery - Livingston</t>
  </si>
  <si>
    <t>18000 W River Road, Livingston, CA 95334</t>
  </si>
  <si>
    <t>CA06047000303</t>
  </si>
  <si>
    <t>City of Hope National Medical Center</t>
  </si>
  <si>
    <t>1500 East Duarte Road, Duarte, CA 91010-3000</t>
  </si>
  <si>
    <t>Duarte</t>
  </si>
  <si>
    <t>CA06037430102</t>
  </si>
  <si>
    <t>Ventura Coastal</t>
  </si>
  <si>
    <t>Food Product Machinery Manufacturing</t>
  </si>
  <si>
    <t>12310 Ave 368, Visalia, CA 93291</t>
  </si>
  <si>
    <t>CA06107000900</t>
  </si>
  <si>
    <t>The Sun Valley Group</t>
  </si>
  <si>
    <t>3160 Upper Bay Road, Arcata, CA 95521</t>
  </si>
  <si>
    <t>Arcata</t>
  </si>
  <si>
    <t>CA06023001101</t>
  </si>
  <si>
    <t>Delano Growers Grape Products</t>
  </si>
  <si>
    <t>Frozen Fruit, Juice, and Vegetable Manufacturing</t>
  </si>
  <si>
    <t>32351 Bassett Avenue, Delano, CA 93215</t>
  </si>
  <si>
    <t>Delano</t>
  </si>
  <si>
    <t>CA06029004604</t>
  </si>
  <si>
    <t>California State Prison - Corcoran</t>
  </si>
  <si>
    <t>4001 King Ave., Corcoran, CA 93212</t>
  </si>
  <si>
    <t>CA06031001602</t>
  </si>
  <si>
    <t>Mission Foods Corporation</t>
  </si>
  <si>
    <t>Tortilla Manufacturing</t>
  </si>
  <si>
    <t>11559 Jersey Boulevard, Rancho Cucamonga, CA 91730</t>
  </si>
  <si>
    <t>Cedars-Sinai Medical Center</t>
  </si>
  <si>
    <t>8700 Beverly Blvd., Los Angeles, CA 90048</t>
  </si>
  <si>
    <t>CA06037214902</t>
  </si>
  <si>
    <t>VA San Diego Healthcare System</t>
  </si>
  <si>
    <t>Administration of Veterans' Affairs</t>
  </si>
  <si>
    <t>3350 La Jolla Village Dr, San Diego, CA 92161</t>
  </si>
  <si>
    <t>California Medical Facility</t>
  </si>
  <si>
    <t>Psychiatric and Substance Abuse Hospitals</t>
  </si>
  <si>
    <t>1600 California Drive, Vacaville, CA 95687</t>
  </si>
  <si>
    <t>CA06095253000</t>
  </si>
  <si>
    <t>DSH-Napa State Hospital</t>
  </si>
  <si>
    <t>2100 Napa Vallejo Hwy, Napa, CA 94558-6293</t>
  </si>
  <si>
    <t>Napa</t>
  </si>
  <si>
    <t>CA06055200900</t>
  </si>
  <si>
    <t>All American Asphalt - Irvine</t>
  </si>
  <si>
    <t>10761 Jeffrey Rd, Irvine, CA 92602</t>
  </si>
  <si>
    <t>CA06059052420</t>
  </si>
  <si>
    <t>Reynolds Consumer Products - Red Bluff</t>
  </si>
  <si>
    <t>All Other Converted Paper Product Manufacturing</t>
  </si>
  <si>
    <t>1000 Diamond Ave, Red Bluff, CA 96080</t>
  </si>
  <si>
    <t>Red Bluff</t>
  </si>
  <si>
    <t>Santa Barbara Cottage Hospital</t>
  </si>
  <si>
    <t>400 West Pueblo St, Santa Barbara, CA 93105</t>
  </si>
  <si>
    <t>CA06083000302</t>
  </si>
  <si>
    <t>Harris Ranch Beef Company</t>
  </si>
  <si>
    <t>Animal (except Poultry) Slaughtering</t>
  </si>
  <si>
    <t>16277 S McCall Ave, Selma, CA 93662</t>
  </si>
  <si>
    <t>Selma</t>
  </si>
  <si>
    <t>CA06019007300</t>
  </si>
  <si>
    <t>Orange Plant - R.J. Noble</t>
  </si>
  <si>
    <t>15505 E. Lincoln Ave, Orange, CA 92865</t>
  </si>
  <si>
    <t>CA06059076201</t>
  </si>
  <si>
    <t>WP&amp;A King</t>
  </si>
  <si>
    <t>10429 King Road, Lost Hills, CA 93727</t>
  </si>
  <si>
    <t>WP&amp;A Firebaugh</t>
  </si>
  <si>
    <t>5970 Road 13, Firebaugh, CA 93622</t>
  </si>
  <si>
    <t>CA06039000400</t>
  </si>
  <si>
    <t>Diamond Pet Food Processors of California, LLC - Ripon</t>
  </si>
  <si>
    <t>942 S. Stockton Ave, Ripon, CA 95366</t>
  </si>
  <si>
    <t>Ripon</t>
  </si>
  <si>
    <t>CA06077005001</t>
  </si>
  <si>
    <t>Rio Tinto - Wilmington</t>
  </si>
  <si>
    <t>300 Falcon St., Wilmington, CA 90744</t>
  </si>
  <si>
    <t>CA06037980031</t>
  </si>
  <si>
    <t>Chemtrade West US, LLC</t>
  </si>
  <si>
    <t>525 Castro Street, Richmond, CA 94801</t>
  </si>
  <si>
    <t>Revol Greens CA, LLC</t>
  </si>
  <si>
    <t>20570 Pellisier Road, Tehachapi, CA 93561</t>
  </si>
  <si>
    <t>California Dairies, Inc., Turlock North</t>
  </si>
  <si>
    <t>3600 West Canal Drive, Turlock, CA 95380</t>
  </si>
  <si>
    <t>CA06099003603</t>
  </si>
  <si>
    <t>Hyperion Water Reclamation Plant</t>
  </si>
  <si>
    <t>12000 Vista del Mar, Playa del Rey, CA 90293</t>
  </si>
  <si>
    <t>Playa del Rey</t>
  </si>
  <si>
    <t>Tuscarora Gas Transmission - Shoetree Compressor Station</t>
  </si>
  <si>
    <t>730-005 Deep Cut Road, Litchfield, CA 96117</t>
  </si>
  <si>
    <t>Litchfield</t>
  </si>
  <si>
    <t>CA06035040100</t>
  </si>
  <si>
    <t>Goodrich Corporation</t>
  </si>
  <si>
    <t>Other Aircraft Parts and Auxiliary Equipment Manufacturing</t>
  </si>
  <si>
    <t>11120 S Norwalk Blvd, Santa Fe Springs, CA 90670</t>
  </si>
  <si>
    <t>Santa Fe Springs</t>
  </si>
  <si>
    <t>CA06037502802</t>
  </si>
  <si>
    <t>PABCO Gypsum Newark</t>
  </si>
  <si>
    <t>37851 Cherry St, Newark, CA 94536</t>
  </si>
  <si>
    <t>Frito Lay - Rancho Cucamonga</t>
  </si>
  <si>
    <t>9535 Archibald Avenue, Rancho Cucamonga, CA 91730</t>
  </si>
  <si>
    <t>California State Prison - Sacramento</t>
  </si>
  <si>
    <t>100 Prison Road, Represa, CA 95671</t>
  </si>
  <si>
    <t>Represa</t>
  </si>
  <si>
    <t>CA06067008402</t>
  </si>
  <si>
    <t>Milk Specialties Global</t>
  </si>
  <si>
    <t>715 N. Divisadero, Visalia, CA 93291</t>
  </si>
  <si>
    <t>CA06107001100</t>
  </si>
  <si>
    <t>Palo Alto V.A. Health Care System Division</t>
  </si>
  <si>
    <t>3801 Mirada Avenue, Palo Alto, CA 94304</t>
  </si>
  <si>
    <t>CA06085511500</t>
  </si>
  <si>
    <t>Central Valley Meat</t>
  </si>
  <si>
    <t>10431 8 3/4 avenue, Hanford, CA 93230</t>
  </si>
  <si>
    <t>CA06031000800</t>
  </si>
  <si>
    <t>Waste Management - Redwood Landfill, Inc.</t>
  </si>
  <si>
    <t>Solid Waste Landfill</t>
  </si>
  <si>
    <t>8950 Redwood Highway, Novato, CA 94945</t>
  </si>
  <si>
    <t>Novato</t>
  </si>
  <si>
    <t>CA06041101100</t>
  </si>
  <si>
    <t>Marin</t>
  </si>
  <si>
    <t>Sierra Resources Santa Barbara Basin</t>
  </si>
  <si>
    <t>9500 US Highway 101, Los Alamos, CA 93440</t>
  </si>
  <si>
    <t>Los Alamos</t>
  </si>
  <si>
    <t>CA06083001901</t>
  </si>
  <si>
    <t>Vaquero Energy - Santa Barbara County</t>
  </si>
  <si>
    <t>4099 Orcutt Garey Rd., Santa Maria, CA 93454</t>
  </si>
  <si>
    <t>Setton Pistachio of Terra Bella, Inc</t>
  </si>
  <si>
    <t>9370 Rd. 234, Terra Bella, CA 93270</t>
  </si>
  <si>
    <t>Terra Bella</t>
  </si>
  <si>
    <t>CA06107004500</t>
  </si>
  <si>
    <t>AAK Richmond</t>
  </si>
  <si>
    <t>Fats and Oils Refining and Blending</t>
  </si>
  <si>
    <t>1145 Harbour Way S, Richmond, CA 94804</t>
  </si>
  <si>
    <t>SunOpta Aseptic</t>
  </si>
  <si>
    <t>555 Mariposa Rd, Modesto, CA 95354</t>
  </si>
  <si>
    <t>Peet's Coffee</t>
  </si>
  <si>
    <t>Coffee and Tea Manufacturing</t>
  </si>
  <si>
    <t>2001 Harbor Bay Parkway, Alameda, CA 94502</t>
  </si>
  <si>
    <t>CA06001428301</t>
  </si>
  <si>
    <t>MATRIX OIL CORP</t>
  </si>
  <si>
    <t>459 West Road, La Habra Heights, CA 90631</t>
  </si>
  <si>
    <t>La Habra Heights</t>
  </si>
  <si>
    <t>CA06037500201</t>
  </si>
  <si>
    <t>Ventura Coastal LLC</t>
  </si>
  <si>
    <t>531 W. Poplar, Tipton, CA 93272</t>
  </si>
  <si>
    <t>Vaquero Energy - Kern County</t>
  </si>
  <si>
    <t>15545 Hermosa Rd., Bakersfield, CA 93307</t>
  </si>
  <si>
    <t>CA06029006202</t>
  </si>
  <si>
    <t>Valley Milk, LLC</t>
  </si>
  <si>
    <t>400 N Washington Rd, Turlock, CA 95380</t>
  </si>
  <si>
    <t>BlueScope Coated Products</t>
  </si>
  <si>
    <t>9123 Center Ave, Rancho Cucamonga, CA 91730</t>
  </si>
  <si>
    <t>BioMarin Pharmaceutical Inc.</t>
  </si>
  <si>
    <t>46 Galli Dr., Novato, CA 94949</t>
  </si>
  <si>
    <t>CA06041105000</t>
  </si>
  <si>
    <t>Pom Wonderful LLC</t>
  </si>
  <si>
    <t>5286 S Del Rey Ave, Del Rey, CA 93616</t>
  </si>
  <si>
    <t>Del Rey</t>
  </si>
  <si>
    <t>CA06019006900</t>
  </si>
  <si>
    <t>Victor Packing</t>
  </si>
  <si>
    <t>11687 Road 27 1/2, Madera, CA 93637</t>
  </si>
  <si>
    <t>CA06039001000</t>
  </si>
  <si>
    <t>Swisstex California</t>
  </si>
  <si>
    <t>Broadwoven Fabric Mills</t>
  </si>
  <si>
    <t>13660 S. Figueroa St, Los Angeles, CA 90061</t>
  </si>
  <si>
    <t>CA06037540902</t>
  </si>
  <si>
    <t>Specialty Granules LLC</t>
  </si>
  <si>
    <t>1900 Highway 104, Ione, CA 95640</t>
  </si>
  <si>
    <t>Ione</t>
  </si>
  <si>
    <t>Hanford Grain Company, LLC</t>
  </si>
  <si>
    <t xml:space="preserve">Other Animal Food Manufacturing	</t>
  </si>
  <si>
    <t>10495 Idaho Ave, Hanford, CA 93230</t>
  </si>
  <si>
    <t>Sentinel Peak Resources - Los Angeles Basin</t>
  </si>
  <si>
    <t>5640 S Fairfax Ave, Los Angeles, CA 91750</t>
  </si>
  <si>
    <t>CA06037236000</t>
  </si>
  <si>
    <t>Sunsweet Growers Inc</t>
  </si>
  <si>
    <t>901 N. Walton Ave, Yuba City, CA 95993</t>
  </si>
  <si>
    <t>Nissin Foods USA</t>
  </si>
  <si>
    <t>2001 W. Rosecrans Avenue, Gardena, CA 90249</t>
  </si>
  <si>
    <t>Gardena</t>
  </si>
  <si>
    <t>CA06037602900</t>
  </si>
  <si>
    <t>Altman Specialty Plants</t>
  </si>
  <si>
    <t>Nursery and Tree Production</t>
  </si>
  <si>
    <t>420 Espinosa Rd, Salinas, CA 93907</t>
  </si>
  <si>
    <t>CA06053010504</t>
  </si>
  <si>
    <t>Crimson Renewable Energy - Bakersfield Plant</t>
  </si>
  <si>
    <t>17731 Millux Rd, Bakersfield, CA 93311</t>
  </si>
  <si>
    <t>California Paper Products, LLC</t>
  </si>
  <si>
    <t>Industrial and Personal Service Paper Merchant Wholesalers</t>
  </si>
  <si>
    <t>5901 Zerker Road, Shafter, CA 93263</t>
  </si>
  <si>
    <t>Heritage Distributing Company DBA Ninth Avenue Foods</t>
  </si>
  <si>
    <t>425 Ninth Avenue, City of Industry, CA 91746</t>
  </si>
  <si>
    <t>Building Materials Manufacturing Corporation (DBA GAF)</t>
  </si>
  <si>
    <t>Nonwoven Fabric Mills</t>
  </si>
  <si>
    <t>6505 Zerker Road, Shafter, CA 93263</t>
  </si>
  <si>
    <t>OWB Packers</t>
  </si>
  <si>
    <t>52 Shank Rd, Brawely, CA 92227</t>
  </si>
  <si>
    <t>CA06025010400</t>
  </si>
  <si>
    <t>CalPlant 1 LLC</t>
  </si>
  <si>
    <t>6101 State Highway 162, Willows, CA 95988</t>
  </si>
  <si>
    <t>CA06021010400</t>
  </si>
  <si>
    <t>Tristar Dyeing and Finishing</t>
  </si>
  <si>
    <t>15125 Marquardt Avenue, Santa Fe Springs, CA 90670</t>
  </si>
  <si>
    <t>CA06037504102</t>
  </si>
  <si>
    <t>California Sugar Refiners, LLC</t>
  </si>
  <si>
    <t>Cane Sugar Manufacturing</t>
  </si>
  <si>
    <t>7122 Enrico Fermi Place, San Diego, CA 92154</t>
  </si>
  <si>
    <t>CA06073010015</t>
  </si>
  <si>
    <t xml:space="preserve">Air Products West Coast Hydrogen LLC - Torrance </t>
  </si>
  <si>
    <t>3700 WEST 190TH STREET, Torrance, CA 90504</t>
  </si>
  <si>
    <t>San Joaquin Facilities Management</t>
  </si>
  <si>
    <t>4520 California Ave, Suite 300, Bakersfield, CA 93309</t>
  </si>
  <si>
    <t>San Joaquin Valley Unified APCD</t>
  </si>
  <si>
    <t>Tulare Water Pollution Control Facility</t>
  </si>
  <si>
    <t>1875 South West Street, Tulare, CA 93274</t>
  </si>
  <si>
    <t>Maruchan, Inc. - Irvine</t>
  </si>
  <si>
    <t>1902 Deere Avenue, Irvine, CA 92606</t>
  </si>
  <si>
    <t>DBW Power Inc.</t>
  </si>
  <si>
    <t>100 Don Bates Way, King City, CA 93930</t>
  </si>
  <si>
    <t>King City</t>
  </si>
  <si>
    <t>CA06053011304</t>
  </si>
  <si>
    <t>Tuscarora Gas Transmission - Likely Compressor Station</t>
  </si>
  <si>
    <t>1020 County Road 187A , Likely, CA 96116</t>
  </si>
  <si>
    <t>Likely</t>
  </si>
  <si>
    <t>CA6049000300</t>
  </si>
  <si>
    <t>Kaiser Permanente Fontana</t>
  </si>
  <si>
    <t>9961 Sierra Ave. , Fontana, CA 92335</t>
  </si>
  <si>
    <t>CA6071003302</t>
  </si>
  <si>
    <t>Primex Farms LLC</t>
  </si>
  <si>
    <t>Postharvest Crop Activities (except Cotton Ginning)</t>
  </si>
  <si>
    <t>16070 Wildwood Road , Wasco, CA 93280</t>
  </si>
  <si>
    <t>Wasco</t>
  </si>
  <si>
    <t>CA6029004500</t>
  </si>
  <si>
    <t>Unit:  Greenhouse Gases - metric tons (1000 kg); Criteria Pollutants - tons (2000 lbs); Toxic Pollutants - pounds (lbs)</t>
  </si>
  <si>
    <t>Total Industrial</t>
  </si>
  <si>
    <t>Total</t>
  </si>
  <si>
    <t>Oil &amp; Gas</t>
  </si>
  <si>
    <t>Hydrogen</t>
  </si>
  <si>
    <t>Oil &amp; Gas %</t>
  </si>
  <si>
    <t>Hydrogen %</t>
  </si>
  <si>
    <t>Refinery %</t>
  </si>
  <si>
    <t>non oil and gas</t>
  </si>
  <si>
    <t>non oil and gas and hydrogen</t>
  </si>
  <si>
    <t>Row Labels</t>
  </si>
  <si>
    <t>Grand Total</t>
  </si>
  <si>
    <t>Sum of Covered GHG</t>
  </si>
  <si>
    <t>Sum of NOx</t>
  </si>
  <si>
    <t>Sum of SOx</t>
  </si>
  <si>
    <t>Sum of PM10</t>
  </si>
  <si>
    <t>Sum of PM2.5</t>
  </si>
  <si>
    <t>GHG CO2eq</t>
  </si>
  <si>
    <t>MTCO2/year</t>
  </si>
  <si>
    <t>% of CA GHG</t>
  </si>
  <si>
    <t>Tons/ year</t>
  </si>
  <si>
    <t>Total Industry</t>
  </si>
  <si>
    <t>Total from Oil and Gas Production and Refining</t>
  </si>
  <si>
    <t>Total from other Industrial Sources</t>
  </si>
  <si>
    <t>https://ww2.arb.ca.gov/ghg-inventory-data</t>
  </si>
  <si>
    <t>Total from Hydrogen Production*</t>
  </si>
  <si>
    <t>* The main use of hydrogen in the United States is to remove sulfur during the oil refining process (https://calfire-umb05.azurewebsites.net/media/10190/introduction-to-the-hydrogen-market-in-california-draft-for-comment_ada.pdf)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</si>
</sst>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7" formatCode="_(* #,##0_);_(* \(#,##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0"/>
      <color rgb="FF000000"/>
      <name val="Helvetica Neue"/>
      <family val="2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1D7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10" xfId="0" applyFont="1" applyBorder="1"/>
    <xf numFmtId="3" fontId="0" fillId="0" borderId="11" xfId="0" applyNumberFormat="1" applyBorder="1"/>
    <xf numFmtId="0" fontId="0" fillId="0" borderId="11" xfId="0" applyBorder="1"/>
    <xf numFmtId="167" fontId="0" fillId="0" borderId="11" xfId="42" applyNumberFormat="1" applyFont="1" applyBorder="1"/>
    <xf numFmtId="164" fontId="0" fillId="0" borderId="11" xfId="43" applyNumberFormat="1" applyFont="1" applyBorder="1"/>
    <xf numFmtId="0" fontId="0" fillId="0" borderId="12" xfId="0" applyFill="1" applyBorder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Font="1"/>
    <xf numFmtId="0" fontId="19" fillId="33" borderId="14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vertical="center" wrapText="1"/>
    </xf>
    <xf numFmtId="0" fontId="19" fillId="33" borderId="13" xfId="0" applyFont="1" applyFill="1" applyBorder="1" applyAlignment="1">
      <alignment horizontal="center" vertical="center" wrapText="1"/>
    </xf>
    <xf numFmtId="9" fontId="20" fillId="0" borderId="0" xfId="43" applyFont="1"/>
    <xf numFmtId="0" fontId="19" fillId="34" borderId="11" xfId="0" applyFont="1" applyFill="1" applyBorder="1" applyAlignment="1">
      <alignment vertical="center" wrapText="1"/>
    </xf>
    <xf numFmtId="3" fontId="19" fillId="34" borderId="11" xfId="0" applyNumberFormat="1" applyFont="1" applyFill="1" applyBorder="1" applyAlignment="1">
      <alignment horizontal="right" vertical="center" wrapText="1"/>
    </xf>
    <xf numFmtId="0" fontId="19" fillId="33" borderId="11" xfId="0" applyFont="1" applyFill="1" applyBorder="1" applyAlignment="1">
      <alignment vertical="center" wrapText="1"/>
    </xf>
    <xf numFmtId="3" fontId="19" fillId="33" borderId="11" xfId="0" applyNumberFormat="1" applyFont="1" applyFill="1" applyBorder="1" applyAlignment="1">
      <alignment horizontal="right" vertical="center" wrapText="1"/>
    </xf>
    <xf numFmtId="0" fontId="18" fillId="33" borderId="15" xfId="0" applyFont="1" applyFill="1" applyBorder="1" applyAlignment="1">
      <alignment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164" fontId="19" fillId="34" borderId="11" xfId="0" applyNumberFormat="1" applyFont="1" applyFill="1" applyBorder="1" applyAlignment="1">
      <alignment horizontal="right" vertical="center" wrapText="1"/>
    </xf>
    <xf numFmtId="164" fontId="19" fillId="33" borderId="11" xfId="0" applyNumberFormat="1" applyFont="1" applyFill="1" applyBorder="1" applyAlignment="1">
      <alignment horizontal="right" vertical="center" wrapText="1"/>
    </xf>
    <xf numFmtId="164" fontId="19" fillId="33" borderId="11" xfId="43" applyNumberFormat="1" applyFont="1" applyFill="1" applyBorder="1" applyAlignment="1">
      <alignment horizontal="righ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67" formatCode="_(* #,##0_);_(* \(#,##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ed Getzoff" refreshedDate="46068.51149675926" createdVersion="8" refreshedVersion="8" minRefreshableVersion="3" recordCount="392" xr:uid="{7282343F-4382-0E47-B078-2D181BB0227B}">
  <cacheSource type="worksheet">
    <worksheetSource name="Emissions[[Year]:[PM2.5]]"/>
  </cacheSource>
  <cacheFields count="30">
    <cacheField name="Year" numFmtId="0">
      <sharedItems containsSemiMixedTypes="0" containsString="0" containsNumber="1" containsInteger="1" minValue="2023" maxValue="2023"/>
    </cacheField>
    <cacheField name="ARBID" numFmtId="0">
      <sharedItems containsSemiMixedTypes="0" containsString="0" containsNumber="1" containsInteger="1" minValue="100002" maxValue="104948"/>
    </cacheField>
    <cacheField name="FACID" numFmtId="0">
      <sharedItems containsString="0" containsBlank="1" containsNumber="1" containsInteger="1" minValue="1" maxValue="800436"/>
    </cacheField>
    <cacheField name="Facility" numFmtId="0">
      <sharedItems/>
    </cacheField>
    <cacheField name="Primary Sector" numFmtId="0">
      <sharedItems count="6">
        <s v="Other Combustion Source"/>
        <s v="Cement Plant"/>
        <s v="Cogeneration"/>
        <s v="Hydrogen Plant"/>
        <s v="Refinery"/>
        <s v="Oil and Gas Production"/>
      </sharedItems>
    </cacheField>
    <cacheField name="NAICS Code" numFmtId="0">
      <sharedItems containsSemiMixedTypes="0" containsString="0" containsNumber="1" containsInteger="1" minValue="111419" maxValue="928110"/>
    </cacheField>
    <cacheField name="NAICS Description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Zip Code" numFmtId="0">
      <sharedItems containsSemiMixedTypes="0" containsString="0" containsNumber="1" containsInteger="1" minValue="90007" maxValue="96130"/>
    </cacheField>
    <cacheField name="Latitude" numFmtId="0">
      <sharedItems containsSemiMixedTypes="0" containsString="0" containsNumber="1" minValue="32.558999999999997" maxValue="41.731999999999999"/>
    </cacheField>
    <cacheField name="Longitude" numFmtId="0">
      <sharedItems containsSemiMixedTypes="0" containsString="0" containsNumber="1" minValue="-124.10299999999999" maxValue="0"/>
    </cacheField>
    <cacheField name="Tract" numFmtId="0">
      <sharedItems/>
    </cacheField>
    <cacheField name="County" numFmtId="0">
      <sharedItems/>
    </cacheField>
    <cacheField name="District" numFmtId="0">
      <sharedItems/>
    </cacheField>
    <cacheField name="Basin" numFmtId="0">
      <sharedItems/>
    </cacheField>
    <cacheField name="Cap-and-Trade" numFmtId="0">
      <sharedItems count="2">
        <s v="Yes"/>
        <s v="No"/>
      </sharedItems>
    </cacheField>
    <cacheField name="Total GHG" numFmtId="0">
      <sharedItems containsSemiMixedTypes="0" containsString="0" containsNumber="1" containsInteger="1" minValue="0" maxValue="6131915"/>
    </cacheField>
    <cacheField name="Non-Biomass GHG" numFmtId="0">
      <sharedItems containsSemiMixedTypes="0" containsString="0" containsNumber="1" containsInteger="1" minValue="0" maxValue="6131915"/>
    </cacheField>
    <cacheField name="Biomass CO2" numFmtId="0">
      <sharedItems containsSemiMixedTypes="0" containsString="0" containsNumber="1" containsInteger="1" minValue="0" maxValue="397961"/>
    </cacheField>
    <cacheField name="CO2" numFmtId="0">
      <sharedItems containsSemiMixedTypes="0" containsString="0" containsNumber="1" containsInteger="1" minValue="0" maxValue="6114736"/>
    </cacheField>
    <cacheField name="CH4" numFmtId="0">
      <sharedItems containsSemiMixedTypes="0" containsString="0" containsNumber="1" minValue="0" maxValue="2751.83"/>
    </cacheField>
    <cacheField name="N2O" numFmtId="0">
      <sharedItems containsSemiMixedTypes="0" containsString="0" containsNumber="1" minValue="0" maxValue="34.4"/>
    </cacheField>
    <cacheField name="Covered GHG" numFmtId="2">
      <sharedItems containsSemiMixedTypes="0" containsString="0" containsNumber="1" containsInteger="1" minValue="0" maxValue="6130525" count="183">
        <n v="0"/>
        <n v="1298864"/>
        <n v="1424149"/>
        <n v="828689"/>
        <n v="77331"/>
        <n v="3256713"/>
        <n v="10060"/>
        <n v="207254"/>
        <n v="49165"/>
        <n v="1203247"/>
        <n v="2325"/>
        <n v="316920"/>
        <n v="35835"/>
        <n v="28827"/>
        <n v="352751"/>
        <n v="1130007"/>
        <n v="49551"/>
        <n v="9539"/>
        <n v="34471"/>
        <n v="27332"/>
        <n v="1839428"/>
        <n v="1208819"/>
        <n v="7160"/>
        <n v="2931997"/>
        <n v="46040"/>
        <n v="374323"/>
        <n v="35224"/>
        <n v="43820"/>
        <n v="954261"/>
        <n v="3623990"/>
        <n v="25048"/>
        <n v="54153"/>
        <n v="38209"/>
        <n v="32210"/>
        <n v="163979"/>
        <n v="26061"/>
        <n v="32627"/>
        <n v="71813"/>
        <n v="204755"/>
        <n v="96699"/>
        <n v="1179972"/>
        <n v="34800"/>
        <n v="64803"/>
        <n v="991653"/>
        <n v="42931"/>
        <n v="70911"/>
        <n v="28052"/>
        <n v="33349"/>
        <n v="36591"/>
        <n v="84330"/>
        <n v="60974"/>
        <n v="34356"/>
        <n v="65728"/>
        <n v="1100021"/>
        <n v="41760"/>
        <n v="469"/>
        <n v="28719"/>
        <n v="7336"/>
        <n v="62475"/>
        <n v="32189"/>
        <n v="86523"/>
        <n v="56710"/>
        <n v="27980"/>
        <n v="6130525"/>
        <n v="655513"/>
        <n v="694734"/>
        <n v="63883"/>
        <n v="55274"/>
        <n v="71853"/>
        <n v="55838"/>
        <n v="63858"/>
        <n v="161567"/>
        <n v="686044"/>
        <n v="53255"/>
        <n v="30745"/>
        <n v="30959"/>
        <n v="765255"/>
        <n v="71288"/>
        <n v="122587"/>
        <n v="365334"/>
        <n v="4338867"/>
        <n v="50456"/>
        <n v="52244"/>
        <n v="15006"/>
        <n v="26679"/>
        <n v="25653"/>
        <n v="509568"/>
        <n v="60649"/>
        <n v="44280"/>
        <n v="29576"/>
        <n v="53980"/>
        <n v="1817950"/>
        <n v="79594"/>
        <n v="149894"/>
        <n v="37449"/>
        <n v="67998"/>
        <n v="26437"/>
        <n v="176627"/>
        <n v="48168"/>
        <n v="43567"/>
        <n v="91894"/>
        <n v="128288"/>
        <n v="154020"/>
        <n v="116403"/>
        <n v="26703"/>
        <n v="144006"/>
        <n v="31635"/>
        <n v="36307"/>
        <n v="52200"/>
        <n v="276119"/>
        <n v="38260"/>
        <n v="37993"/>
        <n v="12389"/>
        <n v="29361"/>
        <n v="37901"/>
        <n v="36551"/>
        <n v="617079"/>
        <n v="30860"/>
        <n v="43938"/>
        <n v="24737"/>
        <n v="18514"/>
        <n v="51566"/>
        <n v="98427"/>
        <n v="26201"/>
        <n v="31090"/>
        <n v="62984"/>
        <n v="60164"/>
        <n v="821228"/>
        <n v="90719"/>
        <n v="172184"/>
        <n v="29838"/>
        <n v="103750"/>
        <n v="1343198"/>
        <n v="1696101"/>
        <n v="2465750"/>
        <n v="22532"/>
        <n v="297340"/>
        <n v="58547"/>
        <n v="26743"/>
        <n v="35482"/>
        <n v="598091"/>
        <n v="22613"/>
        <n v="2864"/>
        <n v="57843"/>
        <n v="29694"/>
        <n v="210519"/>
        <n v="893309"/>
        <n v="42892"/>
        <n v="1055938"/>
        <n v="25501"/>
        <n v="14950"/>
        <n v="12829"/>
        <n v="13722"/>
        <n v="55783"/>
        <n v="27644"/>
        <n v="421247"/>
        <n v="35104"/>
        <n v="58495"/>
        <n v="20426"/>
        <n v="25449"/>
        <n v="40538"/>
        <n v="22843"/>
        <n v="28205"/>
        <n v="17806"/>
        <n v="43484"/>
        <n v="28186"/>
        <n v="20376"/>
        <n v="35567"/>
        <n v="56154"/>
        <n v="111"/>
        <n v="333423"/>
        <n v="121435"/>
        <n v="47017"/>
        <n v="20378"/>
        <n v="27160"/>
        <n v="20109"/>
        <n v="21190"/>
        <n v="30421"/>
        <n v="11619"/>
        <n v="39449"/>
        <n v="31768"/>
        <n v="886106"/>
        <n v="14962"/>
      </sharedItems>
    </cacheField>
    <cacheField name="VOC" numFmtId="2">
      <sharedItems containsSemiMixedTypes="0" containsString="0" containsNumber="1" minValue="0" maxValue="898.5"/>
    </cacheField>
    <cacheField name="NOx" numFmtId="2">
      <sharedItems containsSemiMixedTypes="0" containsString="0" containsNumber="1" minValue="0" maxValue="2177.1999999999998" count="212">
        <n v="117.1"/>
        <n v="1192.5"/>
        <n v="1989.5"/>
        <n v="182.7"/>
        <n v="195.5"/>
        <n v="158"/>
        <n v="142.5"/>
        <n v="27.6"/>
        <n v="5.5"/>
        <n v="29.1"/>
        <n v="414.6"/>
        <n v="5"/>
        <n v="20.6"/>
        <n v="1"/>
        <n v="6"/>
        <n v="8.6"/>
        <n v="17.7"/>
        <n v="428.5"/>
        <n v="0.2"/>
        <n v="1.4"/>
        <n v="20.8"/>
        <n v="10.7"/>
        <n v="51.1"/>
        <n v="0"/>
        <n v="18.3"/>
        <n v="4"/>
        <n v="2.2999999999999998"/>
        <n v="203.2"/>
        <n v="192.7"/>
        <n v="13.4"/>
        <n v="6.6"/>
        <n v="2.8"/>
        <n v="268"/>
        <n v="86"/>
        <n v="952.3"/>
        <n v="8.6999999999999993"/>
        <n v="39.6"/>
        <n v="249.4"/>
        <n v="74.099999999999994"/>
        <n v="75.8"/>
        <n v="8.8000000000000007"/>
        <n v="12.8"/>
        <n v="17.8"/>
        <n v="135.5"/>
        <n v="1.8"/>
        <n v="5.2"/>
        <n v="3.5"/>
        <n v="94.5"/>
        <n v="1929.9"/>
        <n v="66.8"/>
        <n v="1437.6"/>
        <n v="522.20000000000005"/>
        <n v="8.1"/>
        <n v="2.6"/>
        <n v="25.6"/>
        <n v="56.7"/>
        <n v="42.3"/>
        <n v="16.3"/>
        <n v="27.2"/>
        <n v="1.7"/>
        <n v="120.4"/>
        <n v="6.3"/>
        <n v="13.2"/>
        <n v="5.0999999999999996"/>
        <n v="280.8"/>
        <n v="0.1"/>
        <n v="0.6"/>
        <n v="17.600000000000001"/>
        <n v="116.3"/>
        <n v="5.8"/>
        <n v="13.1"/>
        <n v="5.3"/>
        <n v="16.100000000000001"/>
        <n v="22.8"/>
        <n v="1052.7"/>
        <n v="15.2"/>
        <n v="45.4"/>
        <n v="1.6"/>
        <n v="90.7"/>
        <n v="28.2"/>
        <n v="52.5"/>
        <n v="7.3"/>
        <n v="126.8"/>
        <n v="8.4"/>
        <n v="6.4"/>
        <n v="697"/>
        <n v="42.7"/>
        <n v="19.2"/>
        <n v="14.7"/>
        <n v="108.3"/>
        <n v="105"/>
        <n v="65.3"/>
        <n v="42.9"/>
        <n v="51.6"/>
        <n v="282"/>
        <n v="640.5"/>
        <n v="674.7"/>
        <n v="3.6"/>
        <n v="6.5"/>
        <n v="24"/>
        <n v="468.8"/>
        <n v="7.7"/>
        <n v="83.1"/>
        <n v="2"/>
        <n v="40.5"/>
        <n v="2177.1999999999998"/>
        <n v="62.3"/>
        <n v="2.1"/>
        <n v="0.9"/>
        <n v="34.6"/>
        <n v="40"/>
        <n v="179.4"/>
        <n v="15"/>
        <n v="38.1"/>
        <n v="3.7"/>
        <n v="11.3"/>
        <n v="5.4"/>
        <n v="21.3"/>
        <n v="2.9"/>
        <n v="93.4"/>
        <n v="8.3000000000000007"/>
        <n v="5.7"/>
        <n v="116"/>
        <n v="59.7"/>
        <n v="117"/>
        <n v="42"/>
        <n v="153.6"/>
        <n v="4.8"/>
        <n v="0.8"/>
        <n v="11.2"/>
        <n v="16.399999999999999"/>
        <n v="14.2"/>
        <n v="122"/>
        <n v="15.9"/>
        <n v="20"/>
        <n v="0.3"/>
        <n v="3.4"/>
        <n v="183.1"/>
        <n v="21.1"/>
        <n v="22.5"/>
        <n v="18.8"/>
        <n v="10.6"/>
        <n v="251.8"/>
        <n v="12.6"/>
        <n v="9.1"/>
        <n v="27"/>
        <n v="11.5"/>
        <n v="68.900000000000006"/>
        <n v="213.3"/>
        <n v="10.5"/>
        <n v="3.3"/>
        <n v="17.399999999999999"/>
        <n v="3.1"/>
        <n v="40.4"/>
        <n v="28.7"/>
        <n v="6.2"/>
        <n v="42.4"/>
        <n v="64.400000000000006"/>
        <n v="1.3"/>
        <n v="8.9"/>
        <n v="61.2"/>
        <n v="0.4"/>
        <n v="1.2"/>
        <n v="101.1"/>
        <n v="4.3"/>
        <n v="7.5"/>
        <n v="23"/>
        <n v="2.4"/>
        <n v="4.9000000000000004"/>
        <n v="16.2"/>
        <n v="125.9"/>
        <n v="12.4"/>
        <n v="14"/>
        <n v="4.0999999999999996"/>
        <n v="117.6"/>
        <n v="4.2"/>
        <n v="6.7"/>
        <n v="4.4000000000000004"/>
        <n v="7.4"/>
        <n v="20.100000000000001"/>
        <n v="10.199999999999999"/>
        <n v="7.6"/>
        <n v="7.1"/>
        <n v="7.2"/>
        <n v="23.9"/>
        <n v="3.9"/>
        <n v="26.5"/>
        <n v="4.5"/>
        <n v="13.7"/>
        <n v="16.8"/>
        <n v="16.600000000000001"/>
        <n v="16.899999999999999"/>
        <n v="71.900000000000006"/>
        <n v="2.2000000000000002"/>
        <n v="3.2"/>
        <n v="25.5"/>
        <n v="44.5"/>
        <n v="1.9"/>
        <n v="3.8"/>
        <n v="9.6999999999999993"/>
        <n v="14.5"/>
        <n v="4.5999999999999996"/>
        <n v="0.7"/>
        <n v="24.1"/>
        <n v="14.3"/>
        <n v="43.8"/>
        <n v="2.5"/>
        <n v="17"/>
        <n v="70.8"/>
        <n v="1.5"/>
        <n v="28.3"/>
        <n v="32.700000000000003"/>
      </sharedItems>
    </cacheField>
    <cacheField name="SOx" numFmtId="2">
      <sharedItems containsSemiMixedTypes="0" containsString="0" containsNumber="1" minValue="0" maxValue="591.79999999999995" count="92">
        <n v="112.9"/>
        <n v="96.7"/>
        <n v="25.7"/>
        <n v="5.2"/>
        <n v="34.700000000000003"/>
        <n v="1.6"/>
        <n v="0.5"/>
        <n v="2.1"/>
        <n v="0.1"/>
        <n v="301.89999999999998"/>
        <n v="1.2"/>
        <n v="0"/>
        <n v="1"/>
        <n v="199.8"/>
        <n v="1.8"/>
        <n v="363.7"/>
        <n v="0.6"/>
        <n v="2"/>
        <n v="273.5"/>
        <n v="0.4"/>
        <n v="0.9"/>
        <n v="0.2"/>
        <n v="114.8"/>
        <n v="6.5"/>
        <n v="55.9"/>
        <n v="183"/>
        <n v="14.2"/>
        <n v="0.7"/>
        <n v="1.1000000000000001"/>
        <n v="2.4"/>
        <n v="336.2"/>
        <n v="1.4"/>
        <n v="243.6"/>
        <n v="3.8"/>
        <n v="1.7"/>
        <n v="10.7"/>
        <n v="23.7"/>
        <n v="78.599999999999994"/>
        <n v="7.4"/>
        <n v="116.5"/>
        <n v="0.3"/>
        <n v="5.5"/>
        <n v="591.79999999999995"/>
        <n v="5"/>
        <n v="2.2000000000000002"/>
        <n v="0.8"/>
        <n v="12.2"/>
        <n v="6.8"/>
        <n v="67"/>
        <n v="26.1"/>
        <n v="241.2"/>
        <n v="3.2"/>
        <n v="27.4"/>
        <n v="30.9"/>
        <n v="36.6"/>
        <n v="248.4"/>
        <n v="7.5"/>
        <n v="3.1"/>
        <n v="37.9"/>
        <n v="35.4"/>
        <n v="3"/>
        <n v="1.5"/>
        <n v="6.7"/>
        <n v="3.9"/>
        <n v="24.9"/>
        <n v="41"/>
        <n v="1.3"/>
        <n v="97"/>
        <n v="2.6"/>
        <n v="4.3"/>
        <n v="212.2"/>
        <n v="18"/>
        <n v="30.2"/>
        <n v="16.8"/>
        <n v="8"/>
        <n v="65.2"/>
        <n v="1.9"/>
        <n v="6.1"/>
        <n v="2.5"/>
        <n v="8.1999999999999993"/>
        <n v="5.8"/>
        <n v="10.6"/>
        <n v="14.7"/>
        <n v="4.0999999999999996"/>
        <n v="3.4"/>
        <n v="2.8"/>
        <n v="156"/>
        <n v="35.200000000000003"/>
        <n v="4.4000000000000004"/>
        <n v="2.2999999999999998"/>
        <n v="20.7"/>
        <n v="2.9"/>
      </sharedItems>
    </cacheField>
    <cacheField name="PM10" numFmtId="2">
      <sharedItems containsSemiMixedTypes="0" containsString="0" containsNumber="1" minValue="0" maxValue="591.5"/>
    </cacheField>
    <cacheField name="PM2.5" numFmtId="2">
      <sharedItems containsSemiMixedTypes="0" containsString="0" containsNumber="1" minValue="0" maxValue="403.1" count="144">
        <n v="3.2"/>
        <n v="141.80000000000001"/>
        <n v="181"/>
        <n v="41.3"/>
        <n v="17.600000000000001"/>
        <n v="28.6"/>
        <n v="15"/>
        <n v="4.8"/>
        <n v="1.8"/>
        <n v="2.4"/>
        <n v="173.4"/>
        <n v="1.2"/>
        <n v="7.4"/>
        <n v="1.3"/>
        <n v="7.6"/>
        <n v="3.3"/>
        <n v="90.7"/>
        <n v="0"/>
        <n v="1"/>
        <n v="6.4"/>
        <n v="0.9"/>
        <n v="9.6"/>
        <n v="2.8"/>
        <n v="5.4"/>
        <n v="0.3"/>
        <n v="48.7"/>
        <n v="98.5"/>
        <n v="3.7"/>
        <n v="0.6"/>
        <n v="4.9000000000000004"/>
        <n v="115.5"/>
        <n v="20.7"/>
        <n v="6"/>
        <n v="118.6"/>
        <n v="11"/>
        <n v="39.799999999999997"/>
        <n v="60.5"/>
        <n v="3.1"/>
        <n v="4.0999999999999996"/>
        <n v="12.3"/>
        <n v="3"/>
        <n v="17.8"/>
        <n v="4"/>
        <n v="181.3"/>
        <n v="4.5999999999999996"/>
        <n v="3.6"/>
        <n v="64.900000000000006"/>
        <n v="19.100000000000001"/>
        <n v="0.2"/>
        <n v="2.2000000000000002"/>
        <n v="5.3"/>
        <n v="2.1"/>
        <n v="5.6"/>
        <n v="7.2"/>
        <n v="6.5"/>
        <n v="23.6"/>
        <n v="7.5"/>
        <n v="70.599999999999994"/>
        <n v="0.5"/>
        <n v="9.1999999999999993"/>
        <n v="1.1000000000000001"/>
        <n v="8.6999999999999993"/>
        <n v="0.4"/>
        <n v="29.7"/>
        <n v="2.5"/>
        <n v="4.2"/>
        <n v="18.600000000000001"/>
        <n v="1.7"/>
        <n v="351.2"/>
        <n v="9.9"/>
        <n v="7.7"/>
        <n v="1.4"/>
        <n v="11.3"/>
        <n v="31.7"/>
        <n v="6.6"/>
        <n v="23.9"/>
        <n v="7"/>
        <n v="183"/>
        <n v="3.4"/>
        <n v="3.9"/>
        <n v="63.5"/>
        <n v="12.4"/>
        <n v="7.3"/>
        <n v="8.1"/>
        <n v="17.3"/>
        <n v="110.3"/>
        <n v="403.1"/>
        <n v="2.9"/>
        <n v="71.7"/>
        <n v="1.5"/>
        <n v="5.5"/>
        <n v="9.3000000000000007"/>
        <n v="17.7"/>
        <n v="263.60000000000002"/>
        <n v="12"/>
        <n v="11.6"/>
        <n v="1.6"/>
        <n v="15.2"/>
        <n v="3.8"/>
        <n v="34.4"/>
        <n v="4.5"/>
        <n v="9.8000000000000007"/>
        <n v="8.6"/>
        <n v="21.1"/>
        <n v="0.7"/>
        <n v="6.3"/>
        <n v="60.6"/>
        <n v="14"/>
        <n v="2.7"/>
        <n v="25.6"/>
        <n v="32"/>
        <n v="2.2999999999999998"/>
        <n v="2"/>
        <n v="10"/>
        <n v="22.4"/>
        <n v="2.6"/>
        <n v="8.5"/>
        <n v="13.7"/>
        <n v="5.8"/>
        <n v="42.2"/>
        <n v="43.1"/>
        <n v="39.6"/>
        <n v="1.9"/>
        <n v="12.8"/>
        <n v="54.7"/>
        <n v="57"/>
        <n v="47.2"/>
        <n v="0.8"/>
        <n v="356.2"/>
        <n v="6.9"/>
        <n v="3.5"/>
        <n v="5"/>
        <n v="9.5"/>
        <n v="12.6"/>
        <n v="12.1"/>
        <n v="4.4000000000000004"/>
        <n v="20.3"/>
        <n v="0.1"/>
        <n v="10.199999999999999"/>
        <n v="6.2"/>
        <n v="6.8"/>
        <n v="6.7"/>
        <n v="15.3"/>
        <n v="9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n v="2023"/>
    <n v="100002"/>
    <n v="174591"/>
    <s v="Calciner"/>
    <x v="0"/>
    <n v="324199"/>
    <s v="All Other Petroleum and Coal Products Manufacturing"/>
    <s v="1175 Carrack Avenue, Wilmington, CA 90744"/>
    <s v="Wilmington"/>
    <s v="California"/>
    <n v="90744"/>
    <n v="33.777000000000001"/>
    <n v="-118.229"/>
    <s v="CA06037980014"/>
    <s v="Los Angeles"/>
    <s v="South Coast AQMD"/>
    <s v="South Coast"/>
    <x v="0"/>
    <n v="0"/>
    <n v="0"/>
    <n v="0"/>
    <n v="0"/>
    <n v="0"/>
    <n v="0"/>
    <x v="0"/>
    <n v="3.1"/>
    <x v="0"/>
    <x v="0"/>
    <n v="6.6"/>
    <x v="0"/>
  </r>
  <r>
    <n v="2023"/>
    <n v="100011"/>
    <n v="2"/>
    <s v="Searles Valley Minerals Inc."/>
    <x v="0"/>
    <n v="212391"/>
    <s v="Potash, Soda, and Borate Mineral Mining"/>
    <s v="13200 Main Street, Trona, CA 93562"/>
    <s v="Trona"/>
    <s v="California"/>
    <n v="93562"/>
    <n v="35.761000000000003"/>
    <n v="-117.377"/>
    <s v="CA06071008901"/>
    <s v="San Bernardino"/>
    <s v="Mojave Desert AQMD"/>
    <s v="Mojave Desert"/>
    <x v="0"/>
    <n v="1298864"/>
    <n v="1298864"/>
    <n v="0"/>
    <n v="1289875"/>
    <n v="132.24"/>
    <n v="19.07"/>
    <x v="1"/>
    <n v="25.2"/>
    <x v="1"/>
    <x v="1"/>
    <n v="173.9"/>
    <x v="1"/>
  </r>
  <r>
    <n v="2023"/>
    <n v="100013"/>
    <n v="3"/>
    <s v="CalPortland Company, Oro Grande Plant"/>
    <x v="1"/>
    <n v="327310"/>
    <s v="Cement Manufacturing"/>
    <s v="19409 National Trails Highway, Oro Grande, CA 92368"/>
    <s v="Oro Grande"/>
    <s v="California"/>
    <n v="92368"/>
    <n v="34.603000000000002"/>
    <n v="-117.34"/>
    <s v="CA06071011700"/>
    <s v="San Bernardino"/>
    <s v="Mojave Desert AQMD"/>
    <s v="Mojave Desert"/>
    <x v="0"/>
    <n v="1424149"/>
    <n v="1424149"/>
    <n v="0"/>
    <n v="1419833"/>
    <n v="63.26"/>
    <n v="9.18"/>
    <x v="2"/>
    <n v="22.7"/>
    <x v="2"/>
    <x v="2"/>
    <n v="551.20000000000005"/>
    <x v="2"/>
  </r>
  <r>
    <n v="2023"/>
    <n v="100018"/>
    <n v="51"/>
    <s v="Burney Forest Products"/>
    <x v="2"/>
    <n v="221119"/>
    <s v="Other Electric Power Generation"/>
    <s v="35586 B Hwy 299 East, Burney, CA 96013"/>
    <s v="Burney"/>
    <s v="California"/>
    <n v="96013"/>
    <n v="40.880000000000003"/>
    <n v="-121.72"/>
    <s v="CA06089012701"/>
    <s v="Shasta"/>
    <s v="Shasta County AQMD"/>
    <s v="Sacramento Valley"/>
    <x v="1"/>
    <n v="360493"/>
    <n v="16868"/>
    <n v="343625"/>
    <n v="352967"/>
    <n v="117.4"/>
    <n v="15.4"/>
    <x v="0"/>
    <n v="11"/>
    <x v="3"/>
    <x v="3"/>
    <n v="45.7"/>
    <x v="3"/>
  </r>
  <r>
    <n v="2023"/>
    <n v="100040"/>
    <n v="60"/>
    <s v="Humboldt Sawmill Company"/>
    <x v="2"/>
    <n v="221117"/>
    <s v="Biomass Electric Power Generation"/>
    <s v="153 Main St, Scotia, CA 95565"/>
    <s v="Scotia"/>
    <s v="California"/>
    <n v="95565"/>
    <n v="40.487000000000002"/>
    <n v="-124.102"/>
    <s v="CA06023011100"/>
    <s v="Humboldt"/>
    <s v="North Coast Unified AQMD"/>
    <s v="North Coast"/>
    <x v="1"/>
    <n v="266404"/>
    <n v="6343"/>
    <n v="260061"/>
    <n v="260714"/>
    <n v="88.75"/>
    <n v="11.65"/>
    <x v="0"/>
    <n v="29.2"/>
    <x v="4"/>
    <x v="4"/>
    <n v="19.7"/>
    <x v="4"/>
  </r>
  <r>
    <n v="2023"/>
    <n v="100043"/>
    <n v="18"/>
    <s v="Sierra Pacific Industries (SPI) - Burney"/>
    <x v="0"/>
    <n v="321113"/>
    <s v="Sawmills"/>
    <s v="36336 Highway 299 East, Burney, CA 96013"/>
    <s v="Burney"/>
    <s v="California"/>
    <n v="96013"/>
    <n v="40.878"/>
    <n v="-121.70099999999999"/>
    <s v="CA06089012701"/>
    <s v="Shasta"/>
    <s v="Shasta County AQMD"/>
    <s v="Sacramento Valley"/>
    <x v="1"/>
    <n v="234711"/>
    <n v="4581"/>
    <n v="230130"/>
    <n v="230163"/>
    <n v="70.94"/>
    <n v="9.31"/>
    <x v="0"/>
    <n v="68.400000000000006"/>
    <x v="5"/>
    <x v="5"/>
    <n v="32.200000000000003"/>
    <x v="5"/>
  </r>
  <r>
    <n v="2023"/>
    <n v="100090"/>
    <n v="48"/>
    <s v="Sierra Pacific Industries (SPI) - Anderson, 96007"/>
    <x v="0"/>
    <n v="321113"/>
    <s v="Sawmills"/>
    <s v="19758 Riverside Ave, Anderson, CA 96007"/>
    <s v="Anderson"/>
    <s v="California"/>
    <n v="96007"/>
    <n v="40.472999999999999"/>
    <n v="-122.32299999999999"/>
    <s v="CA06089012301"/>
    <s v="Shasta"/>
    <s v="Shasta County AQMD"/>
    <s v="Sacramento Valley"/>
    <x v="1"/>
    <n v="246539"/>
    <n v="6646"/>
    <n v="239893"/>
    <n v="240200"/>
    <n v="98.87"/>
    <n v="12.98"/>
    <x v="0"/>
    <n v="2.5"/>
    <x v="6"/>
    <x v="6"/>
    <n v="17.399999999999999"/>
    <x v="6"/>
  </r>
  <r>
    <n v="2023"/>
    <n v="100127"/>
    <n v="101656"/>
    <s v="Air Products Wilmington Hydrogen Plant"/>
    <x v="3"/>
    <n v="325120"/>
    <s v="Industrial Gas Manufacturing"/>
    <s v="700 N. Henry Ford Ave., Wilmington, CA 90744"/>
    <s v="Wilmington"/>
    <s v="California"/>
    <n v="90744"/>
    <n v="33.779000000000003"/>
    <n v="-118.242"/>
    <s v="CA06037980014"/>
    <s v="Los Angeles"/>
    <s v="South Coast AQMD"/>
    <s v="South Coast"/>
    <x v="0"/>
    <n v="828689"/>
    <n v="828689"/>
    <n v="0"/>
    <n v="827816"/>
    <n v="9.76"/>
    <n v="2.11"/>
    <x v="3"/>
    <n v="5.5"/>
    <x v="7"/>
    <x v="7"/>
    <n v="5.2"/>
    <x v="7"/>
  </r>
  <r>
    <n v="2023"/>
    <n v="100130"/>
    <n v="193"/>
    <s v="Sacramento Municipal Utility District (SMUD) , Carson Power Plant"/>
    <x v="2"/>
    <n v="221112"/>
    <s v="Fossil Fuel Electric Power Generation"/>
    <s v="8580 Laguna Station Road, Elk Grove, CA 95758"/>
    <s v="Elk Grove"/>
    <s v="California"/>
    <n v="95758"/>
    <n v="38.442999999999998"/>
    <n v="-121.464"/>
    <s v="CA06067009618"/>
    <s v="Sacramento"/>
    <s v="Sacramento Metropolitan AQMD"/>
    <s v="Sacramento Valley"/>
    <x v="0"/>
    <n v="84543"/>
    <n v="77331"/>
    <n v="7211"/>
    <n v="84440"/>
    <n v="1.73"/>
    <n v="0.2"/>
    <x v="4"/>
    <n v="0.5"/>
    <x v="8"/>
    <x v="6"/>
    <n v="1.9"/>
    <x v="8"/>
  </r>
  <r>
    <n v="2023"/>
    <n v="100131"/>
    <n v="7265"/>
    <s v="California State University, San Jose"/>
    <x v="0"/>
    <n v="611310"/>
    <s v="Colleges, Universities, and Professional Schools"/>
    <s v="One Washington Square, San Jose, CA 95192"/>
    <s v="San Jose"/>
    <s v="California"/>
    <n v="95192"/>
    <n v="37.335000000000001"/>
    <n v="-121.88500000000001"/>
    <s v="CA06085500901"/>
    <s v="Santa Clara"/>
    <s v="Bay Area AQMD"/>
    <s v="San Francisco Bay Area"/>
    <x v="1"/>
    <n v="27313"/>
    <n v="27313"/>
    <n v="0"/>
    <n v="27284"/>
    <n v="0.51"/>
    <n v="0.05"/>
    <x v="0"/>
    <n v="5.7"/>
    <x v="9"/>
    <x v="8"/>
    <n v="2.4"/>
    <x v="9"/>
  </r>
  <r>
    <n v="2023"/>
    <n v="100138"/>
    <n v="800030"/>
    <s v="Chevron Products Company - El Segundo Refinery, 90245"/>
    <x v="4"/>
    <n v="324110"/>
    <s v="Petroleum Refineries"/>
    <s v="324, W. El Segundo Boulevard, El Segundo, CA 90245"/>
    <s v="El Segundo"/>
    <s v="California"/>
    <n v="90245"/>
    <n v="33.915999999999997"/>
    <n v="-118.419"/>
    <s v="CA06037620102"/>
    <s v="Los Angeles"/>
    <s v="South Coast AQMD"/>
    <s v="South Coast"/>
    <x v="0"/>
    <n v="3257942"/>
    <n v="3245087"/>
    <n v="12855"/>
    <n v="3242291"/>
    <n v="378.44"/>
    <n v="20.77"/>
    <x v="5"/>
    <n v="519.6"/>
    <x v="10"/>
    <x v="9"/>
    <n v="181"/>
    <x v="10"/>
  </r>
  <r>
    <n v="2023"/>
    <n v="100151"/>
    <n v="800386"/>
    <s v="Pitchess Cogeneration Station"/>
    <x v="0"/>
    <n v="922140"/>
    <s v="Correctional Institutions"/>
    <s v="29300 The Old Road, Saugus, CA 91350"/>
    <s v="Saugus"/>
    <s v="California"/>
    <n v="91350"/>
    <n v="34.463999999999999"/>
    <n v="-118.59399999999999"/>
    <s v="CA06037920200"/>
    <s v="Los Angeles"/>
    <s v="South Coast AQMD"/>
    <s v="South Coast"/>
    <x v="0"/>
    <n v="10060"/>
    <n v="10060"/>
    <n v="0"/>
    <n v="10049"/>
    <n v="0.19"/>
    <n v="0.02"/>
    <x v="6"/>
    <n v="1.2"/>
    <x v="11"/>
    <x v="8"/>
    <n v="1.4"/>
    <x v="11"/>
  </r>
  <r>
    <n v="2023"/>
    <n v="100167"/>
    <n v="5985"/>
    <s v="Encina Water Pollution Control Facility"/>
    <x v="0"/>
    <n v="221320"/>
    <s v="Sewage Treatment Facilities"/>
    <s v="6200 Avenida Encinas, Carlsbad, CA 92011"/>
    <s v="Carlsbad"/>
    <s v="California"/>
    <n v="92011"/>
    <n v="33.11"/>
    <n v="-117.318"/>
    <s v="CA06073017813"/>
    <s v="San Diego"/>
    <s v="San Diego County APCD"/>
    <s v="San Diego"/>
    <x v="1"/>
    <n v="15458"/>
    <n v="4536"/>
    <n v="10922"/>
    <n v="15397"/>
    <n v="0.76"/>
    <n v="0.14000000000000001"/>
    <x v="0"/>
    <n v="6.5"/>
    <x v="12"/>
    <x v="10"/>
    <n v="7.4"/>
    <x v="12"/>
  </r>
  <r>
    <n v="2023"/>
    <n v="100180"/>
    <n v="8469"/>
    <s v="Goal Line LP, 92025"/>
    <x v="2"/>
    <n v="221112"/>
    <s v="Fossil Fuel Electric Power Generation"/>
    <s v="555 North Tulip Street, Escondido, CA 92025"/>
    <s v="Escondido"/>
    <s v="California"/>
    <n v="92025"/>
    <n v="33.119"/>
    <n v="-117.099"/>
    <s v="CA06073020307"/>
    <s v="San Diego"/>
    <s v="San Diego County APCD"/>
    <s v="San Diego"/>
    <x v="1"/>
    <n v="6432"/>
    <n v="6432"/>
    <n v="0"/>
    <n v="6426"/>
    <n v="0.12"/>
    <n v="0.01"/>
    <x v="0"/>
    <n v="0.1"/>
    <x v="13"/>
    <x v="11"/>
    <n v="1.3"/>
    <x v="13"/>
  </r>
  <r>
    <n v="2023"/>
    <n v="100195"/>
    <n v="172005"/>
    <s v="New-Indy Ontario, LLC Linerboard Mill"/>
    <x v="0"/>
    <n v="322130"/>
    <s v="Paperboard Mills"/>
    <s v="5100 Jurupa Street, Ontario, CA 91761"/>
    <s v="Ontario"/>
    <s v="California"/>
    <n v="91761"/>
    <n v="34.048000000000002"/>
    <n v="-117.54"/>
    <s v="CA06071012700"/>
    <s v="San Bernardino"/>
    <s v="South Coast AQMD"/>
    <s v="South Coast"/>
    <x v="0"/>
    <n v="207254"/>
    <n v="207254"/>
    <n v="0"/>
    <n v="207040"/>
    <n v="3.9"/>
    <n v="0.39"/>
    <x v="7"/>
    <n v="48.2"/>
    <x v="14"/>
    <x v="12"/>
    <n v="9.9"/>
    <x v="14"/>
  </r>
  <r>
    <n v="2023"/>
    <n v="100205"/>
    <n v="2631"/>
    <s v="Kyocera International Inc."/>
    <x v="0"/>
    <n v="334413"/>
    <s v="Semiconductor and Related Device Manufacturing"/>
    <s v="8611 Balboa Avenue, San Diego, CA 92123"/>
    <s v="San Diego"/>
    <s v="California"/>
    <n v="92123"/>
    <n v="32.82"/>
    <n v="-117.142"/>
    <s v="CA06073008511"/>
    <s v="San Diego"/>
    <s v="San Diego County APCD"/>
    <s v="San Diego"/>
    <x v="1"/>
    <n v="7850"/>
    <n v="7850"/>
    <n v="0"/>
    <n v="7842"/>
    <n v="0.15"/>
    <n v="0.02"/>
    <x v="0"/>
    <n v="4.2"/>
    <x v="15"/>
    <x v="8"/>
    <n v="1.3"/>
    <x v="13"/>
  </r>
  <r>
    <n v="2023"/>
    <n v="100207"/>
    <n v="800234"/>
    <s v="Loma Linda University"/>
    <x v="0"/>
    <n v="611310"/>
    <s v="Colleges, Universities, and Professional Schools"/>
    <s v="11100 Anderson Street, Loma Linda, CA 92354"/>
    <s v="Loma Linda"/>
    <s v="California"/>
    <n v="92354"/>
    <n v="34.051000000000002"/>
    <n v="-117.26300000000001"/>
    <s v="CA06071007303"/>
    <s v="San Bernardino"/>
    <s v="South Coast AQMD"/>
    <s v="South Coast"/>
    <x v="0"/>
    <n v="49176"/>
    <n v="49176"/>
    <n v="0"/>
    <n v="49125"/>
    <n v="0.93"/>
    <n v="0.09"/>
    <x v="8"/>
    <n v="10.7"/>
    <x v="16"/>
    <x v="10"/>
    <n v="3.3"/>
    <x v="15"/>
  </r>
  <r>
    <n v="2023"/>
    <n v="100217"/>
    <n v="181667"/>
    <s v="Torrance Refinery"/>
    <x v="4"/>
    <n v="324110"/>
    <s v="Petroleum Refineries"/>
    <s v="3700 WEST 190TH STREET, TORRANCE, CA 90504"/>
    <s v="Torrance"/>
    <s v="California"/>
    <n v="90504"/>
    <n v="33.851999999999997"/>
    <n v="-118.331"/>
    <s v="CA06037980005"/>
    <s v="Los Angeles"/>
    <s v="South Coast AQMD"/>
    <s v="South Coast"/>
    <x v="0"/>
    <n v="1203650"/>
    <n v="1203650"/>
    <n v="0"/>
    <n v="1197886"/>
    <n v="111.04"/>
    <n v="10.029999999999999"/>
    <x v="9"/>
    <n v="530.5"/>
    <x v="17"/>
    <x v="13"/>
    <n v="99.7"/>
    <x v="16"/>
  </r>
  <r>
    <n v="2023"/>
    <n v="100235"/>
    <n v="1267"/>
    <s v="California State University, Channel Islands"/>
    <x v="2"/>
    <n v="611310"/>
    <s v="Colleges, Universities, and Professional Schools"/>
    <s v="1947 W. Potrero Rd., Camarillo, CA 93012"/>
    <s v="Camarillo"/>
    <s v="California"/>
    <n v="93012"/>
    <n v="34.161999999999999"/>
    <n v="-119.048"/>
    <s v="CA06111005700"/>
    <s v="Ventura"/>
    <s v="Ventura County APCD"/>
    <s v="South Central Coast"/>
    <x v="0"/>
    <n v="2325"/>
    <n v="2325"/>
    <n v="0"/>
    <n v="2323"/>
    <n v="0.04"/>
    <n v="0"/>
    <x v="10"/>
    <n v="0.1"/>
    <x v="18"/>
    <x v="11"/>
    <n v="0"/>
    <x v="17"/>
  </r>
  <r>
    <n v="2023"/>
    <n v="100236"/>
    <n v="47781"/>
    <s v="OLS Energy Chino"/>
    <x v="2"/>
    <n v="221112"/>
    <s v="Fossil Fuel Electric Power Generation"/>
    <s v="5601 Eucalyptus Ave., Chino, CA 91710"/>
    <s v="Chino"/>
    <s v="California"/>
    <n v="91710"/>
    <n v="33.99"/>
    <n v="-117.681"/>
    <s v="CA06071012200"/>
    <s v="San Bernardino"/>
    <s v="South Coast AQMD"/>
    <s v="South Coast"/>
    <x v="1"/>
    <n v="12370"/>
    <n v="12370"/>
    <n v="0"/>
    <n v="12357"/>
    <n v="0.23"/>
    <n v="0.02"/>
    <x v="0"/>
    <n v="1.1000000000000001"/>
    <x v="19"/>
    <x v="8"/>
    <n v="1.2"/>
    <x v="18"/>
  </r>
  <r>
    <n v="2023"/>
    <n v="100252"/>
    <n v="195"/>
    <s v="Sacramento Municipal Utility District (SMUD) , Procter &amp; Gamble Power Plant"/>
    <x v="2"/>
    <n v="221112"/>
    <s v="Fossil Fuel Electric Power Generation"/>
    <s v="5000 83rd Street, Sacramento, CA 95826"/>
    <s v="Sacramento"/>
    <s v="California"/>
    <n v="95826"/>
    <n v="38.53"/>
    <n v="-121.399"/>
    <s v="CA06067005205"/>
    <s v="Sacramento"/>
    <s v="Sacramento Metropolitan AQMD"/>
    <s v="Sacramento Valley"/>
    <x v="0"/>
    <n v="316920"/>
    <n v="316920"/>
    <n v="0"/>
    <n v="316598"/>
    <n v="5.88"/>
    <n v="0.59"/>
    <x v="11"/>
    <n v="1"/>
    <x v="20"/>
    <x v="14"/>
    <n v="6.4"/>
    <x v="19"/>
  </r>
  <r>
    <n v="2023"/>
    <n v="100255"/>
    <n v="17301"/>
    <s v="Orange County Sanitation District - Plant 1"/>
    <x v="0"/>
    <n v="221320"/>
    <s v="Sewage Treatment Facilities"/>
    <s v="10844 Ellis Avenue, Fountain Valley, CA 92708"/>
    <s v="Fountain Valley"/>
    <s v="California"/>
    <n v="92708"/>
    <n v="33.694000000000003"/>
    <n v="-117.938"/>
    <s v="CA06059099229"/>
    <s v="Orange"/>
    <s v="South Coast AQMD"/>
    <s v="South Coast"/>
    <x v="1"/>
    <n v="24479"/>
    <n v="5516"/>
    <n v="18963"/>
    <n v="24375"/>
    <n v="1.27"/>
    <n v="0.24"/>
    <x v="0"/>
    <n v="16.600000000000001"/>
    <x v="21"/>
    <x v="11"/>
    <n v="0.9"/>
    <x v="20"/>
  </r>
  <r>
    <n v="2023"/>
    <n v="100258"/>
    <n v="22789"/>
    <s v="Eco Services - Martinez"/>
    <x v="2"/>
    <n v="325188"/>
    <s v="All Other Basic Inorganic Chemical Manufacturing"/>
    <s v="100 Mococo Road, Martinez, CA 94553"/>
    <s v="Martinez"/>
    <s v="California"/>
    <n v="94553"/>
    <n v="38.031999999999996"/>
    <n v="-122.11499999999999"/>
    <s v="CA06013320001"/>
    <s v="Contra Costa"/>
    <s v="Bay Area AQMD"/>
    <s v="San Francisco Bay Area"/>
    <x v="1"/>
    <n v="13230"/>
    <n v="13230"/>
    <n v="0"/>
    <n v="13217"/>
    <n v="0.25"/>
    <n v="0.03"/>
    <x v="0"/>
    <n v="1"/>
    <x v="22"/>
    <x v="15"/>
    <n v="10"/>
    <x v="21"/>
  </r>
  <r>
    <n v="2023"/>
    <n v="100259"/>
    <m/>
    <s v="Eco Services - Dominguez"/>
    <x v="0"/>
    <n v="325188"/>
    <s v="All Other Basic Inorganic Chemical Manufacturing"/>
    <s v="20720 S. Wilmington Ave., Carson, CA 90810"/>
    <s v="Carson"/>
    <s v="California"/>
    <n v="90810"/>
    <n v="33.843000000000004"/>
    <n v="-118.233"/>
    <s v="CA06037980025"/>
    <s v="Los Angeles"/>
    <s v="South Coast AQMD"/>
    <s v="South Coast"/>
    <x v="0"/>
    <n v="35835"/>
    <n v="35835"/>
    <n v="0"/>
    <n v="35798"/>
    <n v="0.68"/>
    <n v="7.0000000000000007E-2"/>
    <x v="12"/>
    <n v="0"/>
    <x v="23"/>
    <x v="11"/>
    <n v="0"/>
    <x v="17"/>
  </r>
  <r>
    <n v="2023"/>
    <n v="100263"/>
    <n v="3011"/>
    <s v="SRI International Cogen Project"/>
    <x v="2"/>
    <n v="221112"/>
    <s v="Fossil Fuel Electric Power Generation"/>
    <s v="333 Ravenswood Avenue, Building U, Menlo Park, CA 94025"/>
    <s v="Menlo Park"/>
    <s v="California"/>
    <n v="94025"/>
    <n v="37.457999999999998"/>
    <n v="-122.176"/>
    <s v="CA06081612500"/>
    <s v="San Mateo"/>
    <s v="Bay Area AQMD"/>
    <s v="San Francisco Bay Area"/>
    <x v="1"/>
    <n v="22625"/>
    <n v="22625"/>
    <n v="0"/>
    <n v="22602"/>
    <n v="0.43"/>
    <n v="0.04"/>
    <x v="0"/>
    <n v="8.1"/>
    <x v="24"/>
    <x v="8"/>
    <n v="2.8"/>
    <x v="22"/>
  </r>
  <r>
    <n v="2023"/>
    <n v="100273"/>
    <n v="1482"/>
    <s v="University of California, Santa Cruz, UCSC EH&amp;S Office"/>
    <x v="0"/>
    <n v="611310"/>
    <s v="Colleges, Universities, and Professional Schools"/>
    <s v="EH&amp;S Office, UCSC, 1156 High Street, Santa Cruz, CA 95064"/>
    <s v="Santa Cruz"/>
    <s v="California"/>
    <n v="95064"/>
    <n v="36.976999999999997"/>
    <n v="-122.054"/>
    <s v="CA06087100400"/>
    <s v="Santa Cruz"/>
    <s v="Monterey Bay ARD"/>
    <s v="North Central Coast"/>
    <x v="0"/>
    <n v="28841"/>
    <n v="28841"/>
    <n v="0"/>
    <n v="28812"/>
    <n v="0.54"/>
    <n v="0.05"/>
    <x v="13"/>
    <n v="0.4"/>
    <x v="25"/>
    <x v="16"/>
    <n v="7.2"/>
    <x v="23"/>
  </r>
  <r>
    <n v="2023"/>
    <n v="100296"/>
    <n v="1251"/>
    <s v="McKittrick Limited"/>
    <x v="2"/>
    <n v="221112"/>
    <s v="Fossil Fuel Electric Power Generation"/>
    <s v="4905 Reward Road, McKittrick, CA 93251"/>
    <s v="McKittrick"/>
    <s v="California"/>
    <n v="93251"/>
    <n v="35.319000000000003"/>
    <n v="-119.66200000000001"/>
    <s v="CA06029003304"/>
    <s v="Kern"/>
    <s v="San Joaquin Valley APCD"/>
    <s v="San Joaquin Valley"/>
    <x v="1"/>
    <n v="19132"/>
    <n v="19132"/>
    <n v="0"/>
    <n v="19113"/>
    <n v="0.36"/>
    <n v="0.04"/>
    <x v="0"/>
    <n v="0.1"/>
    <x v="26"/>
    <x v="11"/>
    <n v="0.3"/>
    <x v="24"/>
  </r>
  <r>
    <n v="2023"/>
    <n v="100300"/>
    <n v="28"/>
    <s v="U.S. Borax, 93516"/>
    <x v="0"/>
    <n v="212391"/>
    <s v="Potash, Soda, and Borate Mineral Mining"/>
    <s v="14486 Borax Road, Boron, CA 93516"/>
    <s v="Boron"/>
    <s v="California"/>
    <n v="93516"/>
    <n v="35.034999999999997"/>
    <n v="-117.699"/>
    <s v="CA06029005600"/>
    <s v="Kern"/>
    <s v="Eastern Kern APCD"/>
    <s v="Mojave Desert"/>
    <x v="0"/>
    <n v="352751"/>
    <n v="352751"/>
    <n v="0"/>
    <n v="352387"/>
    <n v="6.65"/>
    <n v="0.67"/>
    <x v="14"/>
    <n v="24.8"/>
    <x v="27"/>
    <x v="17"/>
    <n v="117.3"/>
    <x v="25"/>
  </r>
  <r>
    <n v="2023"/>
    <n v="100303"/>
    <n v="21359"/>
    <s v="Phillips 66 Company - San Francisco Refinery"/>
    <x v="4"/>
    <n v="324110"/>
    <s v="Petroleum Refineries"/>
    <s v="1380 San Pablo Ave, Rodeo, CA 94572"/>
    <s v="Rodeo"/>
    <s v="California"/>
    <n v="94572"/>
    <n v="38.045999999999999"/>
    <n v="-122.258"/>
    <s v="CA06013358000"/>
    <s v="Contra Costa"/>
    <s v="Bay Area AQMD"/>
    <s v="San Francisco Bay Area"/>
    <x v="0"/>
    <n v="1130671"/>
    <n v="1036356"/>
    <n v="94315"/>
    <n v="1124826"/>
    <n v="95.94"/>
    <n v="11.57"/>
    <x v="15"/>
    <n v="76.7"/>
    <x v="28"/>
    <x v="18"/>
    <n v="99.2"/>
    <x v="26"/>
  </r>
  <r>
    <n v="2023"/>
    <n v="100305"/>
    <n v="25"/>
    <s v="University of California, Davis"/>
    <x v="0"/>
    <n v="611310"/>
    <s v="Colleges, Universities, and Professional Schools"/>
    <s v="One Shields Avenue, Davis, CA 95616"/>
    <s v="Davis"/>
    <s v="California"/>
    <n v="95616"/>
    <n v="38.540999999999997"/>
    <n v="-121.748"/>
    <s v="CA06113010501"/>
    <s v="Yolo"/>
    <s v="Yolo-Solano AQMD"/>
    <s v="Sacramento Valley"/>
    <x v="0"/>
    <n v="49910"/>
    <n v="49888"/>
    <n v="22"/>
    <n v="49857"/>
    <n v="0.95"/>
    <n v="0.1"/>
    <x v="16"/>
    <n v="6.2"/>
    <x v="29"/>
    <x v="19"/>
    <n v="4.0999999999999996"/>
    <x v="27"/>
  </r>
  <r>
    <n v="2023"/>
    <n v="100322"/>
    <n v="13001"/>
    <s v="Yuba City Cogeneration Partners LP"/>
    <x v="2"/>
    <n v="221112"/>
    <s v="Fossil Fuel Electric Power Generation"/>
    <s v="873 N. Walton Ave., Yuba City, CA 95993"/>
    <s v="Yuba City"/>
    <s v="California"/>
    <n v="95993"/>
    <n v="39.14"/>
    <n v="-121.643"/>
    <s v="CA06101050501"/>
    <s v="Sutter"/>
    <s v="Feather River AQMD"/>
    <s v="Sacramento Valley"/>
    <x v="0"/>
    <n v="9539"/>
    <n v="9539"/>
    <n v="0"/>
    <n v="9529"/>
    <n v="0.18"/>
    <n v="0.02"/>
    <x v="17"/>
    <n v="0.6"/>
    <x v="30"/>
    <x v="11"/>
    <n v="0.6"/>
    <x v="28"/>
  </r>
  <r>
    <n v="2023"/>
    <n v="100327"/>
    <n v="800387"/>
    <s v="California Institute of Technology (CalTech)"/>
    <x v="0"/>
    <n v="611310"/>
    <s v="Colleges, Universities, and Professional Schools"/>
    <s v="1200 E. California Blvd., Pasadena, CA 91125"/>
    <s v="Pasadena"/>
    <s v="California"/>
    <n v="91125"/>
    <n v="34.134999999999998"/>
    <n v="-118.128"/>
    <s v="CA06037463500"/>
    <s v="Los Angeles"/>
    <s v="South Coast AQMD"/>
    <s v="South Coast"/>
    <x v="0"/>
    <n v="34471"/>
    <n v="34471"/>
    <n v="0"/>
    <n v="34435"/>
    <n v="0.65"/>
    <n v="7.0000000000000007E-2"/>
    <x v="18"/>
    <n v="4"/>
    <x v="26"/>
    <x v="20"/>
    <n v="5.4"/>
    <x v="29"/>
  </r>
  <r>
    <n v="2023"/>
    <n v="100328"/>
    <n v="550"/>
    <s v="Civic Center Cogen, LA County"/>
    <x v="0"/>
    <n v="221330"/>
    <s v="Steam and Air-Conditioning Supply"/>
    <s v="301 N. Broadway, Los Angeles, CA 90012"/>
    <s v="Los Angeles"/>
    <s v="California"/>
    <n v="90012"/>
    <n v="34.057000000000002"/>
    <n v="-118.244"/>
    <s v="CA06037207400"/>
    <s v="Los Angeles"/>
    <s v="South Coast AQMD"/>
    <s v="South Coast"/>
    <x v="0"/>
    <n v="27332"/>
    <n v="27332"/>
    <n v="0"/>
    <n v="27304"/>
    <n v="0.51"/>
    <n v="0.05"/>
    <x v="19"/>
    <n v="1.4"/>
    <x v="31"/>
    <x v="21"/>
    <n v="4.9000000000000004"/>
    <x v="27"/>
  </r>
  <r>
    <n v="2023"/>
    <n v="100329"/>
    <n v="171107"/>
    <s v="Phillips 66 Company - Los Angeles Refinery - Wilmington Plant"/>
    <x v="4"/>
    <n v="324110"/>
    <s v="Petroleum Refineries"/>
    <s v="1660 W. Anaheim St., Wilmington, CA 90744"/>
    <s v="Wilmington"/>
    <s v="California"/>
    <n v="90744"/>
    <n v="33.779000000000003"/>
    <n v="-118.29"/>
    <s v="CA06037980015"/>
    <s v="Los Angeles"/>
    <s v="South Coast AQMD"/>
    <s v="South Coast"/>
    <x v="0"/>
    <n v="1840632"/>
    <n v="1840632"/>
    <n v="0"/>
    <n v="1832581"/>
    <n v="142.22"/>
    <n v="15.09"/>
    <x v="20"/>
    <n v="248.2"/>
    <x v="32"/>
    <x v="22"/>
    <n v="141"/>
    <x v="30"/>
  </r>
  <r>
    <n v="2023"/>
    <n v="100338"/>
    <n v="11866"/>
    <s v="Calpine - Los Medanos Energy Center, LLC"/>
    <x v="2"/>
    <n v="221112"/>
    <s v="Fossil Fuel Electric Power Generation"/>
    <s v="750 E. 3rd St, Pittsburg, CA 94565"/>
    <s v="Pittsburg"/>
    <s v="California"/>
    <n v="94565"/>
    <n v="38.029000000000003"/>
    <n v="-121.873"/>
    <s v="CA06013309000"/>
    <s v="Contra Costa"/>
    <s v="Bay Area AQMD"/>
    <s v="San Francisco Bay Area"/>
    <x v="0"/>
    <n v="1208819"/>
    <n v="1208819"/>
    <n v="0"/>
    <n v="1207571"/>
    <n v="22.78"/>
    <n v="2.2799999999999998"/>
    <x v="21"/>
    <n v="24.4"/>
    <x v="33"/>
    <x v="23"/>
    <n v="20.8"/>
    <x v="31"/>
  </r>
  <r>
    <n v="2023"/>
    <n v="100351"/>
    <n v="21360"/>
    <s v="Phillips 66 Company - San Francisco Carbon Plant"/>
    <x v="0"/>
    <n v="324199"/>
    <s v="All Other Petroleum and Coal Products Manufacturing"/>
    <s v="2101 Franklin Canyon Road, Rodeo, CA 94572"/>
    <s v="Rodeo"/>
    <s v="California"/>
    <n v="94572"/>
    <n v="38.015999999999998"/>
    <n v="-122.23699999999999"/>
    <s v="CA06013356001"/>
    <s v="Contra Costa"/>
    <s v="Bay Area AQMD"/>
    <s v="San Francisco Bay Area"/>
    <x v="0"/>
    <n v="7160"/>
    <n v="7160"/>
    <n v="0"/>
    <n v="7149"/>
    <n v="0.16"/>
    <n v="0.03"/>
    <x v="22"/>
    <n v="0.2"/>
    <x v="23"/>
    <x v="11"/>
    <n v="6.1"/>
    <x v="32"/>
  </r>
  <r>
    <n v="2023"/>
    <n v="100372"/>
    <n v="12626"/>
    <s v="Valero Refining Company - California, Benicia Refinery and Benicia Asphalt Plant"/>
    <x v="4"/>
    <n v="324110"/>
    <s v="Petroleum Refineries"/>
    <s v="3400 East Second Street, Benicia, CA 94510"/>
    <s v="Benicia"/>
    <s v="California"/>
    <n v="94510"/>
    <n v="38.067"/>
    <n v="-122.146"/>
    <s v="CA06095252102"/>
    <s v="Solano"/>
    <s v="Bay Area AQMD"/>
    <s v="San Francisco Bay Area"/>
    <x v="0"/>
    <n v="2933332"/>
    <n v="2933332"/>
    <n v="0"/>
    <n v="2874390"/>
    <n v="2104.7199999999998"/>
    <n v="21.22"/>
    <x v="23"/>
    <n v="159.5"/>
    <x v="34"/>
    <x v="24"/>
    <n v="121.6"/>
    <x v="33"/>
  </r>
  <r>
    <n v="2023"/>
    <n v="100389"/>
    <n v="117290"/>
    <s v="Braun Medical Inc"/>
    <x v="0"/>
    <n v="325412"/>
    <s v="Pharmaceutical Preparation Manufacturing"/>
    <s v="2525 Mc Gaw Ave., Irvine, CA 92614"/>
    <s v="Irvine"/>
    <s v="California"/>
    <n v="92614"/>
    <n v="33.69"/>
    <n v="-117.84"/>
    <s v="CA06059075515"/>
    <s v="Orange"/>
    <s v="South Coast AQMD"/>
    <s v="South Coast"/>
    <x v="0"/>
    <n v="46040"/>
    <n v="46040"/>
    <n v="0"/>
    <n v="45993"/>
    <n v="0.87"/>
    <n v="0.09"/>
    <x v="24"/>
    <n v="18.600000000000001"/>
    <x v="35"/>
    <x v="19"/>
    <n v="3.3"/>
    <x v="15"/>
  </r>
  <r>
    <n v="2023"/>
    <n v="100886"/>
    <n v="511"/>
    <s v="Sycamore Cogeneration Facility"/>
    <x v="2"/>
    <n v="221112"/>
    <s v="Fossil Fuel Electric Power Generation"/>
    <s v="SW China Grade Loop, Bakersfield, CA 93308"/>
    <s v="Bakersfield"/>
    <s v="California"/>
    <n v="93308"/>
    <n v="35.454999999999998"/>
    <n v="-119.002"/>
    <s v="CA06029005103"/>
    <s v="Kern"/>
    <s v="San Joaquin Valley APCD"/>
    <s v="San Joaquin Valley"/>
    <x v="0"/>
    <n v="374323"/>
    <n v="374323"/>
    <n v="0"/>
    <n v="373938"/>
    <n v="7.02"/>
    <n v="0.7"/>
    <x v="25"/>
    <n v="0"/>
    <x v="36"/>
    <x v="19"/>
    <n v="11"/>
    <x v="34"/>
  </r>
  <r>
    <n v="2023"/>
    <n v="100888"/>
    <n v="71"/>
    <s v="Plains LPG Services/ Lone Star Frac &amp; Isom Facility"/>
    <x v="5"/>
    <n v="211112"/>
    <s v="Natural Gas Liquid Extraction"/>
    <s v="19340 Beech Ave, Shafter, CA 93263"/>
    <s v="Shafter"/>
    <s v="California"/>
    <n v="93263"/>
    <n v="35.445999999999998"/>
    <n v="-119.25700000000001"/>
    <s v="CA06029004200"/>
    <s v="Kern"/>
    <s v="San Joaquin Valley APCD"/>
    <s v="San Joaquin Valley"/>
    <x v="0"/>
    <n v="1"/>
    <n v="1"/>
    <n v="0"/>
    <n v="0"/>
    <n v="0.04"/>
    <n v="0"/>
    <x v="0"/>
    <n v="5.4"/>
    <x v="23"/>
    <x v="11"/>
    <n v="0"/>
    <x v="17"/>
  </r>
  <r>
    <n v="2023"/>
    <n v="100895"/>
    <m/>
    <s v="Shadow Wolf Energy - Placerita"/>
    <x v="5"/>
    <n v="211111"/>
    <s v="Crude Petroleum and Natural Gas Extraction"/>
    <s v="25121 North Sierra Highway, Newhall, CA 91321"/>
    <s v="Newhall"/>
    <s v="California"/>
    <n v="91321"/>
    <n v="34.384999999999998"/>
    <n v="-118.495"/>
    <s v="CA06037920332"/>
    <s v="Los Angeles"/>
    <s v="South Coast AQMD"/>
    <s v="South Coast"/>
    <x v="0"/>
    <n v="35248"/>
    <n v="35248"/>
    <n v="0"/>
    <n v="35191"/>
    <n v="1.47"/>
    <n v="7.0000000000000007E-2"/>
    <x v="26"/>
    <n v="0"/>
    <x v="23"/>
    <x v="11"/>
    <n v="0"/>
    <x v="17"/>
  </r>
  <r>
    <n v="2023"/>
    <n v="100904"/>
    <m/>
    <s v="Bridge Energy, LLC"/>
    <x v="5"/>
    <n v="211111"/>
    <s v="Crude Petroleum and Natural Gas Extraction"/>
    <s v="2000 Tonner Canyon Rd, Brea, CA 92821"/>
    <s v="Brea"/>
    <s v="California"/>
    <n v="92821"/>
    <n v="33.938000000000002"/>
    <n v="-117.86"/>
    <s v="CA06059021815"/>
    <s v="Orange"/>
    <s v="South Coast AQMD"/>
    <s v="South Coast"/>
    <x v="0"/>
    <n v="43860"/>
    <n v="43860"/>
    <n v="0"/>
    <n v="43735"/>
    <n v="4.13"/>
    <n v="0.08"/>
    <x v="27"/>
    <n v="0"/>
    <x v="23"/>
    <x v="11"/>
    <n v="0"/>
    <x v="17"/>
  </r>
  <r>
    <n v="2023"/>
    <n v="100913"/>
    <n v="171109"/>
    <s v="Phillips 66 Company - Los Angeles Refinery - Carson Plant"/>
    <x v="4"/>
    <n v="324110"/>
    <s v="Petroleum Refineries"/>
    <s v="1520 E. Sepulveda Blvd., Carson, CA 90745"/>
    <s v="Carson"/>
    <s v="California"/>
    <n v="90745"/>
    <n v="33.808999999999997"/>
    <n v="-118.24299999999999"/>
    <s v="CA06037980002"/>
    <s v="Los Angeles"/>
    <s v="South Coast AQMD"/>
    <s v="South Coast"/>
    <x v="0"/>
    <n v="954863"/>
    <n v="954863"/>
    <n v="0"/>
    <n v="950450"/>
    <n v="69.56"/>
    <n v="8.98"/>
    <x v="28"/>
    <n v="73.5"/>
    <x v="37"/>
    <x v="25"/>
    <n v="46"/>
    <x v="35"/>
  </r>
  <r>
    <n v="2023"/>
    <n v="100914"/>
    <m/>
    <s v="Martinez Refining Company LLC"/>
    <x v="4"/>
    <n v="324110"/>
    <s v="Petroleum Refineries"/>
    <s v="3485 Pacheco Blvd., Martinez, CA 94553"/>
    <s v="Martinez"/>
    <s v="California"/>
    <n v="94553"/>
    <n v="38.012"/>
    <n v="-122.105"/>
    <s v="CA06013320001"/>
    <s v="Contra Costa"/>
    <s v="Bay Area AQMD"/>
    <s v="San Francisco Bay Area"/>
    <x v="0"/>
    <n v="3625074"/>
    <n v="3625074"/>
    <n v="0"/>
    <n v="3550269"/>
    <n v="2751.83"/>
    <n v="20.16"/>
    <x v="29"/>
    <n v="0"/>
    <x v="23"/>
    <x v="11"/>
    <n v="0"/>
    <x v="17"/>
  </r>
  <r>
    <n v="2023"/>
    <n v="100915"/>
    <n v="5973"/>
    <s v="Southern California Gas Co - Honor Rancho Facility"/>
    <x v="5"/>
    <n v="486210"/>
    <s v="Pipeline Transportation of Natural Gas"/>
    <s v="25205 W. Rye Canyon Road, Valencia, CA 91355"/>
    <s v="Valencia"/>
    <s v="California"/>
    <n v="91355"/>
    <n v="34.438000000000002"/>
    <n v="-118.577"/>
    <s v="CA06037920107"/>
    <s v="Los Angeles"/>
    <s v="South Coast AQMD"/>
    <s v="South Coast"/>
    <x v="0"/>
    <n v="27317"/>
    <n v="27317"/>
    <n v="0"/>
    <n v="23441"/>
    <n v="154.51"/>
    <n v="0.04"/>
    <x v="30"/>
    <n v="33.5"/>
    <x v="38"/>
    <x v="21"/>
    <n v="2.8"/>
    <x v="22"/>
  </r>
  <r>
    <n v="2023"/>
    <n v="100917"/>
    <n v="261"/>
    <s v="CertainTeed Corporation"/>
    <x v="0"/>
    <n v="327993"/>
    <s v="Mineral Wool Manufacturing"/>
    <s v="17775 Ave 23 1/2, Chowchilla, CA 93610"/>
    <s v="Chowchilla"/>
    <s v="California"/>
    <n v="93610"/>
    <n v="37.093000000000004"/>
    <n v="-120.224"/>
    <s v="CA06039000202"/>
    <s v="Madera"/>
    <s v="San Joaquin Valley APCD"/>
    <s v="San Joaquin Valley"/>
    <x v="0"/>
    <n v="54153"/>
    <n v="54153"/>
    <n v="0"/>
    <n v="54102"/>
    <n v="0.93"/>
    <n v="0.09"/>
    <x v="31"/>
    <n v="64.2"/>
    <x v="39"/>
    <x v="26"/>
    <n v="61"/>
    <x v="36"/>
  </r>
  <r>
    <n v="2023"/>
    <n v="100936"/>
    <n v="5014"/>
    <s v="Campbell Soup Supply Company, L.L.C. - Dixon"/>
    <x v="0"/>
    <n v="311421"/>
    <s v="Fruit and Vegetable Canning"/>
    <s v="8380 Pedrick Road, Dixon, CA 95620"/>
    <s v="Dixon"/>
    <s v="California"/>
    <n v="95620"/>
    <n v="38.475000000000001"/>
    <n v="-121.803"/>
    <s v="CA06095253300"/>
    <s v="Solano"/>
    <s v="Yolo-Solano AQMD"/>
    <s v="Sacramento Valley"/>
    <x v="0"/>
    <n v="38209"/>
    <n v="38209"/>
    <n v="0"/>
    <n v="38170"/>
    <n v="0.72"/>
    <n v="7.0000000000000007E-2"/>
    <x v="32"/>
    <n v="3.5"/>
    <x v="21"/>
    <x v="21"/>
    <n v="3.5"/>
    <x v="37"/>
  </r>
  <r>
    <n v="2023"/>
    <n v="100943"/>
    <n v="606"/>
    <s v="Anheuser-Busch LLC - Fairfield"/>
    <x v="0"/>
    <n v="312120"/>
    <s v="Breweries"/>
    <s v="3101 Busch Drive, Fairfield, CA 94534"/>
    <s v="Fairfield"/>
    <s v="California"/>
    <n v="94534"/>
    <n v="38.238"/>
    <n v="-122.095"/>
    <s v="CA06095252305"/>
    <s v="Solano"/>
    <s v="Bay Area AQMD"/>
    <s v="San Francisco Bay Area"/>
    <x v="1"/>
    <n v="13402"/>
    <n v="10246"/>
    <n v="3156"/>
    <n v="13376"/>
    <n v="0.39"/>
    <n v="0.05"/>
    <x v="0"/>
    <n v="17"/>
    <x v="40"/>
    <x v="14"/>
    <n v="1.2"/>
    <x v="18"/>
  </r>
  <r>
    <n v="2023"/>
    <n v="100952"/>
    <n v="43436"/>
    <s v="TST, Inc."/>
    <x v="0"/>
    <n v="331314"/>
    <s v="Secondary Smelting and Alloying of Aluminum"/>
    <s v="11601 Etiwanda Ave, Fontana, CA 92337"/>
    <s v="Fontana"/>
    <s v="California"/>
    <n v="92337"/>
    <n v="34.043999999999997"/>
    <n v="-117.52200000000001"/>
    <s v="CA06071002204"/>
    <s v="San Bernardino"/>
    <s v="South Coast AQMD"/>
    <s v="South Coast"/>
    <x v="1"/>
    <n v="16700"/>
    <n v="16700"/>
    <n v="0"/>
    <n v="16683"/>
    <n v="0.31"/>
    <n v="0.03"/>
    <x v="0"/>
    <n v="3.6"/>
    <x v="41"/>
    <x v="8"/>
    <n v="2.5"/>
    <x v="9"/>
  </r>
  <r>
    <n v="2023"/>
    <n v="100953"/>
    <n v="14495"/>
    <s v="Vista Metals Corp."/>
    <x v="0"/>
    <n v="331314"/>
    <s v="Secondary Smelting and Alloying of Aluminum"/>
    <s v="13425 Whittram Avenue, Fontana, CA 92335"/>
    <s v="Fontana"/>
    <s v="California"/>
    <n v="92335"/>
    <n v="34.094000000000001"/>
    <n v="-117.512"/>
    <s v="CA06071002204"/>
    <s v="San Bernardino"/>
    <s v="South Coast AQMD"/>
    <s v="South Coast"/>
    <x v="0"/>
    <n v="32210"/>
    <n v="32210"/>
    <n v="0"/>
    <n v="32177"/>
    <n v="0.61"/>
    <n v="0.06"/>
    <x v="33"/>
    <n v="5.4"/>
    <x v="42"/>
    <x v="21"/>
    <n v="4.2"/>
    <x v="38"/>
  </r>
  <r>
    <n v="2023"/>
    <n v="100954"/>
    <n v="46268"/>
    <s v="California Steel Industries"/>
    <x v="0"/>
    <n v="331221"/>
    <s v="Rolled Steel Shape Manufacturing"/>
    <s v="14000 SAN BERNARDINO AVE, Fontana, CA 92335"/>
    <s v="Fontana"/>
    <s v="California"/>
    <n v="92335"/>
    <n v="34.078000000000003"/>
    <n v="-117.494"/>
    <s v="CA06071002204"/>
    <s v="San Bernardino"/>
    <s v="South Coast AQMD"/>
    <s v="South Coast"/>
    <x v="0"/>
    <n v="163979"/>
    <n v="163979"/>
    <n v="0"/>
    <n v="163809"/>
    <n v="3.09"/>
    <n v="0.31"/>
    <x v="34"/>
    <n v="17.5"/>
    <x v="43"/>
    <x v="20"/>
    <n v="12.7"/>
    <x v="39"/>
  </r>
  <r>
    <n v="2023"/>
    <n v="100958"/>
    <n v="447"/>
    <s v="E &amp; J Gallo Winery - Fresno"/>
    <x v="0"/>
    <n v="312130"/>
    <s v="Wineries"/>
    <s v="5610 Olive, Fresno, CA 93727"/>
    <s v="Fresno"/>
    <s v="California"/>
    <n v="93727"/>
    <n v="36.753999999999998"/>
    <n v="-119.702"/>
    <s v="CA06019003001"/>
    <s v="Fresno"/>
    <s v="San Joaquin Valley APCD"/>
    <s v="San Joaquin Valley"/>
    <x v="0"/>
    <n v="27180"/>
    <n v="26061"/>
    <n v="1119"/>
    <n v="27147"/>
    <n v="0.56000000000000005"/>
    <n v="0.06"/>
    <x v="35"/>
    <n v="146.69999999999999"/>
    <x v="44"/>
    <x v="16"/>
    <n v="0.7"/>
    <x v="28"/>
  </r>
  <r>
    <n v="2023"/>
    <n v="100959"/>
    <n v="402"/>
    <s v="California Dairies, Inc. Fresno"/>
    <x v="0"/>
    <n v="311514"/>
    <s v="Dry, Condensed, and Evaporated Dairy Product Manufacturing"/>
    <s v="755 F Street, Fresno, CA 93706"/>
    <s v="Fresno"/>
    <s v="California"/>
    <n v="93706"/>
    <n v="36.728000000000002"/>
    <n v="-119.792"/>
    <s v="CA06019000300"/>
    <s v="Fresno"/>
    <s v="San Joaquin Valley APCD"/>
    <s v="San Joaquin Valley"/>
    <x v="0"/>
    <n v="32627"/>
    <n v="32627"/>
    <n v="0"/>
    <n v="32594"/>
    <n v="0.61"/>
    <n v="0.06"/>
    <x v="36"/>
    <n v="6.9"/>
    <x v="45"/>
    <x v="16"/>
    <n v="5.6"/>
    <x v="22"/>
  </r>
  <r>
    <n v="2023"/>
    <n v="100972"/>
    <n v="787"/>
    <s v="Los Gatos Tomato Products"/>
    <x v="0"/>
    <n v="311421"/>
    <s v="Fruit and Vegetable Canning"/>
    <s v="19800 Gale Avenue, Huron, CA 93234"/>
    <s v="Huron"/>
    <s v="California"/>
    <n v="93234"/>
    <n v="36.183"/>
    <n v="-120.152"/>
    <s v="CA06019007801"/>
    <s v="Fresno"/>
    <s v="San Joaquin Valley APCD"/>
    <s v="San Joaquin Valley"/>
    <x v="0"/>
    <n v="71813"/>
    <n v="71813"/>
    <n v="0"/>
    <n v="71738"/>
    <n v="1.35"/>
    <n v="0.14000000000000001"/>
    <x v="37"/>
    <n v="6.1"/>
    <x v="46"/>
    <x v="27"/>
    <n v="3"/>
    <x v="40"/>
  </r>
  <r>
    <n v="2023"/>
    <n v="100997"/>
    <n v="18452"/>
    <s v="University of California, Los Angeles, UCLA"/>
    <x v="0"/>
    <n v="611310"/>
    <s v="Colleges, Universities, and Professional Schools"/>
    <s v="405 Hilgard Ave., Los Angeles, CA 90095"/>
    <s v="Los Angeles"/>
    <s v="California"/>
    <n v="90095"/>
    <n v="34.070999999999998"/>
    <n v="-118.44499999999999"/>
    <s v="CA06037265301"/>
    <s v="Los Angeles"/>
    <s v="South Coast AQMD"/>
    <s v="South Coast"/>
    <x v="0"/>
    <n v="204761"/>
    <n v="204761"/>
    <n v="0"/>
    <n v="204550"/>
    <n v="3.86"/>
    <n v="0.39"/>
    <x v="38"/>
    <n v="19.7"/>
    <x v="47"/>
    <x v="28"/>
    <n v="20.100000000000001"/>
    <x v="41"/>
  </r>
  <r>
    <n v="2023"/>
    <n v="101008"/>
    <n v="1276"/>
    <s v="Ingomar Packing Company"/>
    <x v="0"/>
    <n v="311421"/>
    <s v="Fruit and Vegetable Canning"/>
    <s v="9950 S. Ingomar Grade, Los Banos, CA 93635"/>
    <s v="Los Banos"/>
    <s v="California"/>
    <n v="93635"/>
    <n v="37.143999999999998"/>
    <n v="-120.96"/>
    <s v="CA06047002000"/>
    <s v="Merced"/>
    <s v="San Joaquin Valley APCD"/>
    <s v="San Joaquin Valley"/>
    <x v="0"/>
    <n v="96699"/>
    <n v="96699"/>
    <n v="0"/>
    <n v="96599"/>
    <n v="1.82"/>
    <n v="0.18"/>
    <x v="39"/>
    <n v="9.1"/>
    <x v="25"/>
    <x v="29"/>
    <n v="4"/>
    <x v="42"/>
  </r>
  <r>
    <n v="2023"/>
    <n v="101010"/>
    <n v="1"/>
    <s v="Mitsubishi Cement 2000"/>
    <x v="1"/>
    <n v="327310"/>
    <s v="Cement Manufacturing"/>
    <s v="5808 State Highway 18, Lucerne Valley, CA 92356"/>
    <s v="Lucerne Valley"/>
    <s v="California"/>
    <n v="92356"/>
    <n v="34.354999999999997"/>
    <n v="-116.855"/>
    <s v="CA06071012103"/>
    <s v="San Bernardino"/>
    <s v="Mojave Desert AQMD"/>
    <s v="Mojave Desert"/>
    <x v="0"/>
    <n v="1220660"/>
    <n v="1179972"/>
    <n v="40688"/>
    <n v="1216585"/>
    <n v="61.3"/>
    <n v="8.5299999999999994"/>
    <x v="40"/>
    <n v="26.1"/>
    <x v="48"/>
    <x v="30"/>
    <n v="513.1"/>
    <x v="43"/>
  </r>
  <r>
    <n v="2023"/>
    <n v="101015"/>
    <n v="907"/>
    <s v="Central Contra Costa Sanitary District"/>
    <x v="0"/>
    <n v="221320"/>
    <s v="Sewage Treatment Facilities"/>
    <s v="5019 Imhoff Place, Martinez, CA 94553"/>
    <s v="Martinez"/>
    <s v="California"/>
    <n v="94553"/>
    <n v="38"/>
    <n v="-122.069"/>
    <s v="CA06013320004"/>
    <s v="Contra Costa"/>
    <s v="Bay Area AQMD"/>
    <s v="San Francisco Bay Area"/>
    <x v="1"/>
    <n v="72845"/>
    <n v="24577"/>
    <n v="48268"/>
    <n v="71946"/>
    <n v="13.99"/>
    <n v="1.84"/>
    <x v="0"/>
    <n v="15.6"/>
    <x v="49"/>
    <x v="16"/>
    <n v="4.7"/>
    <x v="44"/>
  </r>
  <r>
    <n v="2023"/>
    <n v="101017"/>
    <n v="10295"/>
    <s v="Air Products &amp; Chemicals, Inc., Martinez"/>
    <x v="3"/>
    <n v="325120"/>
    <s v="Industrial Gas Manufacturing"/>
    <s v="P.O. Box 1469, Eric Schneider, Martinez, CA 94553"/>
    <s v="Martinez"/>
    <s v="California"/>
    <n v="94553"/>
    <n v="38.020000000000003"/>
    <n v="-122.06399999999999"/>
    <s v="CA06013315000"/>
    <s v="Contra Costa"/>
    <s v="Bay Area AQMD"/>
    <s v="San Francisco Bay Area"/>
    <x v="0"/>
    <n v="34800"/>
    <n v="34800"/>
    <n v="0"/>
    <n v="34787"/>
    <n v="0.15"/>
    <n v="0.03"/>
    <x v="41"/>
    <n v="4.3"/>
    <x v="30"/>
    <x v="19"/>
    <n v="0.6"/>
    <x v="28"/>
  </r>
  <r>
    <n v="2023"/>
    <n v="101025"/>
    <n v="1680"/>
    <s v="Stanislaus Food Products"/>
    <x v="0"/>
    <n v="311421"/>
    <s v="Fruit and Vegetable Canning"/>
    <s v="1202 D Street, Modesto, CA 95354"/>
    <s v="Modesto"/>
    <s v="California"/>
    <n v="95354"/>
    <n v="37.636000000000003"/>
    <n v="-120.991"/>
    <s v="CA06099001800"/>
    <s v="Stanislaus"/>
    <s v="San Joaquin Valley APCD"/>
    <s v="San Joaquin Valley"/>
    <x v="0"/>
    <n v="64803"/>
    <n v="64803"/>
    <n v="0"/>
    <n v="64736"/>
    <n v="1.22"/>
    <n v="0.12"/>
    <x v="42"/>
    <n v="2.1"/>
    <x v="31"/>
    <x v="31"/>
    <n v="3.6"/>
    <x v="45"/>
  </r>
  <r>
    <n v="2023"/>
    <n v="101029"/>
    <n v="9"/>
    <s v="CalPortland Company, Mojave Plant"/>
    <x v="1"/>
    <n v="327310"/>
    <s v="Cement Manufacturing"/>
    <s v="9350 Oak Creek Road, Mojave, CA 93501"/>
    <s v="Mojave"/>
    <s v="California"/>
    <n v="93501"/>
    <n v="35.039000000000001"/>
    <n v="-118.30200000000001"/>
    <s v="CA06029006007"/>
    <s v="Kern"/>
    <s v="Eastern Kern APCD"/>
    <s v="Mojave Desert"/>
    <x v="0"/>
    <n v="991653"/>
    <n v="991653"/>
    <n v="0"/>
    <n v="989359"/>
    <n v="33.86"/>
    <n v="4.8600000000000003"/>
    <x v="43"/>
    <n v="32.4"/>
    <x v="50"/>
    <x v="32"/>
    <n v="148.80000000000001"/>
    <x v="46"/>
  </r>
  <r>
    <n v="2023"/>
    <n v="101031"/>
    <n v="39"/>
    <s v="PG&amp;E Topock Compressor Station"/>
    <x v="5"/>
    <n v="221210"/>
    <s v="Natural Gas Distribution"/>
    <s v="145453 National Trails Highway, Needles, CA 92363"/>
    <s v="Needles"/>
    <s v="California"/>
    <n v="92363"/>
    <n v="34.713999999999999"/>
    <n v="-114.49299999999999"/>
    <s v="CA06071025100"/>
    <s v="San Bernardino"/>
    <s v="Mojave Desert AQMD"/>
    <s v="Mojave Desert"/>
    <x v="0"/>
    <n v="46833"/>
    <n v="46833"/>
    <n v="0"/>
    <n v="42907"/>
    <n v="156.06"/>
    <n v="0.08"/>
    <x v="44"/>
    <n v="21.2"/>
    <x v="51"/>
    <x v="21"/>
    <n v="19.7"/>
    <x v="47"/>
  </r>
  <r>
    <n v="2023"/>
    <n v="101035"/>
    <n v="22308"/>
    <s v="Safety-Kleen of California Inc."/>
    <x v="0"/>
    <n v="324191"/>
    <s v="Petroleum Lubricating Oil and Grease Manufacturing"/>
    <s v="6880 Smith Ave., Newark, CA 94560"/>
    <s v="Newark"/>
    <s v="California"/>
    <n v="94560"/>
    <n v="37.521000000000001"/>
    <n v="-122.02"/>
    <s v="CA06001444601"/>
    <s v="Alameda"/>
    <s v="Bay Area AQMD"/>
    <s v="San Francisco Bay Area"/>
    <x v="1"/>
    <n v="7517"/>
    <n v="7517"/>
    <n v="0"/>
    <n v="7510"/>
    <n v="0.14000000000000001"/>
    <n v="0.01"/>
    <x v="0"/>
    <n v="1.2"/>
    <x v="52"/>
    <x v="11"/>
    <n v="0.2"/>
    <x v="48"/>
  </r>
  <r>
    <n v="2023"/>
    <n v="101053"/>
    <n v="42630"/>
    <s v="Linde Inc."/>
    <x v="3"/>
    <n v="325120"/>
    <s v="Industrial Gas Manufacturing"/>
    <s v="5705 E. Airport Dr., Ontario, CA 91761"/>
    <s v="Ontario"/>
    <s v="California"/>
    <n v="91761"/>
    <n v="34.064"/>
    <n v="-117.53"/>
    <s v="CA06071012700"/>
    <s v="San Bernardino"/>
    <s v="South Coast AQMD"/>
    <s v="South Coast"/>
    <x v="0"/>
    <n v="70911"/>
    <n v="70911"/>
    <n v="0"/>
    <n v="70758"/>
    <n v="1.82"/>
    <n v="0.36"/>
    <x v="45"/>
    <n v="2.9"/>
    <x v="53"/>
    <x v="11"/>
    <n v="3.7"/>
    <x v="49"/>
  </r>
  <r>
    <n v="2023"/>
    <n v="101056"/>
    <n v="187165"/>
    <s v="AltAir Paramount LLC"/>
    <x v="4"/>
    <n v="325199"/>
    <s v="All Other Basic Organic Chemical Manufacturing"/>
    <s v="14700 Downey Avenue, Paramount, CA 90723"/>
    <s v="Paramount"/>
    <s v="California"/>
    <n v="90723"/>
    <n v="33.9"/>
    <n v="-118.15"/>
    <s v="CA06037553502"/>
    <s v="Los Angeles"/>
    <s v="South Coast AQMD"/>
    <s v="South Coast"/>
    <x v="1"/>
    <n v="23570"/>
    <n v="5699"/>
    <n v="17872"/>
    <n v="23471"/>
    <n v="1.19"/>
    <n v="0.24"/>
    <x v="0"/>
    <n v="19.2"/>
    <x v="54"/>
    <x v="33"/>
    <n v="5.6"/>
    <x v="50"/>
  </r>
  <r>
    <n v="2023"/>
    <n v="101068"/>
    <m/>
    <s v="USS-UPI, LLC"/>
    <x v="0"/>
    <n v="331221"/>
    <s v="Rolled Steel Shape Manufacturing"/>
    <s v="900 Loveridge Road, Pittsburg, CA 94565"/>
    <s v="Pittsburg"/>
    <s v="California"/>
    <n v="94565"/>
    <n v="38.026000000000003"/>
    <n v="-121.866"/>
    <s v="CA06013309000"/>
    <s v="Contra Costa"/>
    <s v="Bay Area AQMD"/>
    <s v="San Francisco Bay Area"/>
    <x v="0"/>
    <n v="28054"/>
    <n v="28054"/>
    <n v="0"/>
    <n v="28025"/>
    <n v="0.53"/>
    <n v="0.05"/>
    <x v="46"/>
    <n v="0"/>
    <x v="23"/>
    <x v="11"/>
    <n v="0"/>
    <x v="17"/>
  </r>
  <r>
    <n v="2023"/>
    <n v="101118"/>
    <n v="1795"/>
    <s v="Solar Turbines Incorporated - Kearny Mesa"/>
    <x v="0"/>
    <n v="333611"/>
    <s v="Turbine and Turbine Generator Set Units Manufacturing"/>
    <s v="4400 Ruffin Road, San Diego, CA 92123"/>
    <s v="San Diego"/>
    <s v="California"/>
    <n v="92123"/>
    <n v="32.820999999999998"/>
    <n v="-117.128"/>
    <s v="CA06073008511"/>
    <s v="San Diego"/>
    <s v="San Diego County APCD"/>
    <s v="San Diego"/>
    <x v="0"/>
    <n v="34316"/>
    <n v="34316"/>
    <n v="0"/>
    <n v="34278"/>
    <n v="0.67"/>
    <n v="7.0000000000000007E-2"/>
    <x v="47"/>
    <n v="13.5"/>
    <x v="55"/>
    <x v="19"/>
    <n v="2.2000000000000002"/>
    <x v="51"/>
  </r>
  <r>
    <n v="2023"/>
    <n v="101124"/>
    <n v="51"/>
    <s v="United Airlines, Inc. - San Francisco Maintenance Center"/>
    <x v="0"/>
    <n v="488190"/>
    <s v="Other Support Activities for Air Transportation"/>
    <s v="800 South Airport Blvd, San Francisco, CA 94128"/>
    <s v="San Francisco"/>
    <s v="California"/>
    <n v="94128"/>
    <n v="37.634999999999998"/>
    <n v="-122.399"/>
    <s v="CA06081984300"/>
    <s v="San Mateo"/>
    <s v="Bay Area AQMD"/>
    <s v="San Francisco Bay Area"/>
    <x v="1"/>
    <n v="27062"/>
    <n v="27062"/>
    <n v="0"/>
    <n v="27023"/>
    <n v="0.6"/>
    <n v="0.08"/>
    <x v="0"/>
    <n v="17.7"/>
    <x v="56"/>
    <x v="34"/>
    <n v="5.6"/>
    <x v="52"/>
  </r>
  <r>
    <n v="2023"/>
    <n v="101140"/>
    <n v="778"/>
    <s v="San Jose/Santa Clara Regional Wastewater Facility"/>
    <x v="0"/>
    <n v="221320"/>
    <s v="Sewage Treatment Facilities"/>
    <s v="700 Los Esteros Road, San Jose, CA 95134"/>
    <s v="San Jose"/>
    <s v="California"/>
    <n v="95134"/>
    <n v="37.433999999999997"/>
    <n v="-121.947"/>
    <s v="CA06085504602"/>
    <s v="Santa Clara"/>
    <s v="Bay Area AQMD"/>
    <s v="San Francisco Bay Area"/>
    <x v="1"/>
    <n v="39400"/>
    <n v="19787"/>
    <n v="19614"/>
    <n v="39279"/>
    <n v="1.58"/>
    <n v="0.27"/>
    <x v="0"/>
    <n v="24"/>
    <x v="57"/>
    <x v="35"/>
    <n v="7.3"/>
    <x v="53"/>
  </r>
  <r>
    <n v="2023"/>
    <n v="101154"/>
    <m/>
    <s v="Owens Corning Insulating Systems, LLC Santa Clara"/>
    <x v="0"/>
    <n v="327993"/>
    <s v="Mineral Wool Manufacturing"/>
    <s v="960 Central Expressway, Santa Clara, CA 95050"/>
    <s v="Santa Clara"/>
    <s v="California"/>
    <n v="95050"/>
    <n v="37.374000000000002"/>
    <n v="-121.953"/>
    <s v="CA06085505202"/>
    <s v="Santa Clara"/>
    <s v="Bay Area AQMD"/>
    <s v="San Francisco Bay Area"/>
    <x v="0"/>
    <n v="0"/>
    <n v="0"/>
    <n v="0"/>
    <n v="0"/>
    <n v="0"/>
    <n v="0"/>
    <x v="0"/>
    <n v="0"/>
    <x v="23"/>
    <x v="11"/>
    <n v="0"/>
    <x v="17"/>
  </r>
  <r>
    <n v="2023"/>
    <n v="101162"/>
    <n v="800080"/>
    <s v="Lunday-Thagard Company, DBA World Oil Refining"/>
    <x v="4"/>
    <n v="324110"/>
    <s v="Petroleum Refineries"/>
    <s v="9301 Garfield Ave., South Gate, CA 90280"/>
    <s v="South Gate"/>
    <s v="California"/>
    <n v="90280"/>
    <n v="33.947000000000003"/>
    <n v="-118.167"/>
    <s v="CA06037536102"/>
    <s v="Los Angeles"/>
    <s v="South Coast AQMD"/>
    <s v="South Coast"/>
    <x v="0"/>
    <n v="37042"/>
    <n v="37042"/>
    <n v="0"/>
    <n v="36593"/>
    <n v="15.77"/>
    <n v="0.18"/>
    <x v="48"/>
    <n v="11"/>
    <x v="58"/>
    <x v="36"/>
    <n v="7.6"/>
    <x v="54"/>
  </r>
  <r>
    <n v="2023"/>
    <n v="101179"/>
    <n v="1381"/>
    <s v="Amgen Inc."/>
    <x v="0"/>
    <n v="325414"/>
    <s v="Biological Product (except Diagnostic) Manufacturing"/>
    <s v="One Amgen Center Drive, Thousand Oaks, CA 91320"/>
    <s v="Thousand Oaks"/>
    <s v="California"/>
    <n v="91320"/>
    <n v="34.191000000000003"/>
    <n v="-118.92400000000001"/>
    <s v="CA06111006100"/>
    <s v="Ventura"/>
    <s v="Ventura County APCD"/>
    <s v="South Central Coast"/>
    <x v="1"/>
    <n v="20212"/>
    <n v="20212"/>
    <n v="0"/>
    <n v="20191"/>
    <n v="0.38"/>
    <n v="0.04"/>
    <x v="0"/>
    <n v="6.2"/>
    <x v="59"/>
    <x v="8"/>
    <n v="0.6"/>
    <x v="28"/>
  </r>
  <r>
    <n v="2023"/>
    <n v="101183"/>
    <n v="593"/>
    <s v="Owens-Brockway Glass Container, Tracy"/>
    <x v="0"/>
    <n v="327213"/>
    <s v="Glass Container Manufacturing"/>
    <s v="14700 W. Schulte Rd., Tracy, CA 95377"/>
    <s v="Tracy"/>
    <s v="California"/>
    <n v="95377"/>
    <n v="37.716000000000001"/>
    <n v="-121.491"/>
    <s v="CA06077005207"/>
    <s v="San Joaquin"/>
    <s v="San Joaquin Valley APCD"/>
    <s v="San Joaquin Valley"/>
    <x v="0"/>
    <n v="84330"/>
    <n v="84330"/>
    <n v="0"/>
    <n v="84263"/>
    <n v="1.21"/>
    <n v="0.12"/>
    <x v="49"/>
    <n v="2.2999999999999998"/>
    <x v="60"/>
    <x v="37"/>
    <n v="30.6"/>
    <x v="55"/>
  </r>
  <r>
    <n v="2023"/>
    <n v="101186"/>
    <n v="1203"/>
    <s v="Saputo Cheese USA Inc. - Paige"/>
    <x v="0"/>
    <n v="311513"/>
    <s v="Cheese Manufacturing"/>
    <s v="800 E. Paige Avenue, Tulare, CA 93274"/>
    <s v="Tulare"/>
    <s v="California"/>
    <n v="93274"/>
    <n v="36.182000000000002"/>
    <n v="-119.336"/>
    <s v="CA06107002901"/>
    <s v="Tulare"/>
    <s v="San Joaquin Valley APCD"/>
    <s v="San Joaquin Valley"/>
    <x v="0"/>
    <n v="60974"/>
    <n v="60974"/>
    <n v="0"/>
    <n v="60911"/>
    <n v="1.1499999999999999"/>
    <n v="0.12"/>
    <x v="50"/>
    <n v="2.9"/>
    <x v="61"/>
    <x v="38"/>
    <n v="17.5"/>
    <x v="56"/>
  </r>
  <r>
    <n v="2023"/>
    <n v="101190"/>
    <n v="2149"/>
    <s v="California Dairies, Inc. Turlock"/>
    <x v="0"/>
    <n v="311514"/>
    <s v="Dry, Condensed, and Evaporated Dairy Product Manufacturing"/>
    <s v="475 S. Tegner Rd., Turlock, CA 95380"/>
    <s v="Turlock"/>
    <s v="California"/>
    <n v="95380"/>
    <n v="37.49"/>
    <n v="-120.887"/>
    <s v="CA06099003700"/>
    <s v="Stanislaus"/>
    <s v="San Joaquin Valley APCD"/>
    <s v="San Joaquin Valley"/>
    <x v="0"/>
    <n v="34356"/>
    <n v="34356"/>
    <n v="0"/>
    <n v="34320"/>
    <n v="0.65"/>
    <n v="7.0000000000000007E-2"/>
    <x v="51"/>
    <n v="1.1000000000000001"/>
    <x v="25"/>
    <x v="20"/>
    <n v="8.1999999999999993"/>
    <x v="45"/>
  </r>
  <r>
    <n v="2023"/>
    <n v="101192"/>
    <n v="591"/>
    <s v="MAGTFTC MCAGCC Twentynine Palms"/>
    <x v="2"/>
    <n v="928110"/>
    <s v="National Security"/>
    <s v="Box 788110 Bldg 1451, Twentynine Palms, CA 92278"/>
    <s v="Twentynine Palms"/>
    <s v="California"/>
    <n v="92278"/>
    <n v="34.237000000000002"/>
    <n v="-116.054"/>
    <s v="CA06071010402"/>
    <s v="San Bernardino"/>
    <s v="Mojave Desert AQMD"/>
    <s v="Mojave Desert"/>
    <x v="1"/>
    <n v="38114"/>
    <n v="38114"/>
    <n v="0"/>
    <n v="38075"/>
    <n v="0.72"/>
    <n v="7.0000000000000007E-2"/>
    <x v="0"/>
    <n v="3.1"/>
    <x v="62"/>
    <x v="19"/>
    <n v="5.9"/>
    <x v="29"/>
  </r>
  <r>
    <n v="2023"/>
    <n v="101197"/>
    <n v="7063"/>
    <s v="California Dairies, Inc. Visalia"/>
    <x v="0"/>
    <n v="311514"/>
    <s v="Dry, Condensed, and Evaporated Dairy Product Manufacturing"/>
    <s v="2000 N. Plaza Dr., Visalia, CA 93291"/>
    <s v="Visalia"/>
    <s v="California"/>
    <n v="93291"/>
    <n v="36.344000000000001"/>
    <n v="-119.392"/>
    <s v="CA06107001003"/>
    <s v="Tulare"/>
    <s v="San Joaquin Valley APCD"/>
    <s v="San Joaquin Valley"/>
    <x v="0"/>
    <n v="65728"/>
    <n v="65728"/>
    <n v="0"/>
    <n v="65660"/>
    <n v="1.24"/>
    <n v="0.12"/>
    <x v="52"/>
    <n v="3.2"/>
    <x v="63"/>
    <x v="5"/>
    <n v="10"/>
    <x v="32"/>
  </r>
  <r>
    <n v="2023"/>
    <n v="101205"/>
    <n v="800026"/>
    <s v="Ultramar Inc - Valero Wilmington"/>
    <x v="4"/>
    <n v="324110"/>
    <s v="Petroleum Refineries"/>
    <s v="2402 E Anaheim St, Wilmington, CA 90744"/>
    <s v="Wilmington"/>
    <s v="California"/>
    <n v="90744"/>
    <n v="33.780999999999999"/>
    <n v="-118.23"/>
    <s v="CA06037980014"/>
    <s v="Los Angeles"/>
    <s v="South Coast AQMD"/>
    <s v="South Coast"/>
    <x v="0"/>
    <n v="1100385"/>
    <n v="1100385"/>
    <n v="0"/>
    <n v="1095663"/>
    <n v="86.66"/>
    <n v="8.57"/>
    <x v="53"/>
    <n v="98.6"/>
    <x v="64"/>
    <x v="39"/>
    <n v="73.8"/>
    <x v="57"/>
  </r>
  <r>
    <n v="2023"/>
    <n v="101207"/>
    <n v="38"/>
    <s v="Pacific Coast Producers"/>
    <x v="0"/>
    <n v="311421"/>
    <s v="Fruit and Vegetable Canning"/>
    <s v="1376 Lemen Avenue, Woodland, CA 95776"/>
    <s v="Woodland"/>
    <s v="California"/>
    <n v="95776"/>
    <n v="38.68"/>
    <n v="-121.758"/>
    <s v="CA06113010800"/>
    <s v="Yolo"/>
    <s v="Yolo-Solano AQMD"/>
    <s v="Sacramento Valley"/>
    <x v="0"/>
    <n v="41760"/>
    <n v="41760"/>
    <n v="0"/>
    <n v="41717"/>
    <n v="0.79"/>
    <n v="0.08"/>
    <x v="54"/>
    <n v="0.7"/>
    <x v="44"/>
    <x v="21"/>
    <n v="4.2"/>
    <x v="27"/>
  </r>
  <r>
    <n v="2023"/>
    <n v="101213"/>
    <n v="1163"/>
    <s v="Olam West Coast Inc- Lemoore"/>
    <x v="0"/>
    <n v="311422"/>
    <s v="Specialty Canning"/>
    <s v="1175 S. 19th Ave., Lemoore, CA 93245"/>
    <s v="Lemoore"/>
    <s v="California"/>
    <n v="93245"/>
    <n v="36.277999999999999"/>
    <n v="-119.801"/>
    <s v="CA06031000402"/>
    <s v="Kings"/>
    <s v="San Joaquin Valley APCD"/>
    <s v="San Joaquin Valley"/>
    <x v="0"/>
    <n v="469"/>
    <n v="469"/>
    <n v="0"/>
    <n v="468"/>
    <n v="0.01"/>
    <n v="0"/>
    <x v="55"/>
    <n v="0"/>
    <x v="65"/>
    <x v="11"/>
    <n v="0"/>
    <x v="17"/>
  </r>
  <r>
    <n v="2023"/>
    <n v="101214"/>
    <n v="366"/>
    <s v="Del Monte - Hanford"/>
    <x v="0"/>
    <n v="311421"/>
    <s v="Fruit and Vegetable Canning"/>
    <s v="10652 Jackson Ave., Hanford, CA 93230"/>
    <s v="Hanford"/>
    <s v="California"/>
    <n v="93230"/>
    <n v="36.255000000000003"/>
    <n v="-119.645"/>
    <s v="CA06031001200"/>
    <s v="Kings"/>
    <s v="San Joaquin Valley APCD"/>
    <s v="San Joaquin Valley"/>
    <x v="0"/>
    <n v="28719"/>
    <n v="28719"/>
    <n v="0"/>
    <n v="28689"/>
    <n v="0.54"/>
    <n v="0.05"/>
    <x v="56"/>
    <n v="2.8"/>
    <x v="66"/>
    <x v="40"/>
    <n v="0.5"/>
    <x v="58"/>
  </r>
  <r>
    <n v="2023"/>
    <n v="101218"/>
    <n v="800189"/>
    <s v="Disneyland Resort"/>
    <x v="0"/>
    <n v="713110"/>
    <s v="Amusement and Theme Parks"/>
    <s v="1313 S. Harbor Blvd, Anaheim, CA 92802"/>
    <s v="Anaheim"/>
    <s v="California"/>
    <n v="92802"/>
    <n v="33.811999999999998"/>
    <n v="-117.92"/>
    <s v="CA06059980000"/>
    <s v="Orange"/>
    <s v="South Coast AQMD"/>
    <s v="South Coast"/>
    <x v="1"/>
    <n v="21412"/>
    <n v="21393"/>
    <n v="19"/>
    <n v="21390"/>
    <n v="0.41"/>
    <n v="0.04"/>
    <x v="0"/>
    <n v="2.6"/>
    <x v="67"/>
    <x v="21"/>
    <n v="12.6"/>
    <x v="59"/>
  </r>
  <r>
    <n v="2023"/>
    <n v="101226"/>
    <n v="13"/>
    <s v="Phillips 66 Company - Santa Maria Refinery"/>
    <x v="4"/>
    <n v="324110"/>
    <s v="Petroleum Refineries"/>
    <s v="2555 Willow Road, Arroyo Grande, CA 93420"/>
    <s v="Arroyo Grande"/>
    <s v="California"/>
    <n v="93420"/>
    <n v="35.046999999999997"/>
    <n v="-120.592"/>
    <s v="CA06079012304"/>
    <s v="San Luis Obispo"/>
    <s v="San Luis Obispo County APCD"/>
    <s v="South Central Coast"/>
    <x v="0"/>
    <n v="7347"/>
    <n v="7347"/>
    <n v="0"/>
    <n v="7334"/>
    <n v="0.19"/>
    <n v="0.03"/>
    <x v="57"/>
    <n v="28.9"/>
    <x v="11"/>
    <x v="41"/>
    <n v="1.1000000000000001"/>
    <x v="60"/>
  </r>
  <r>
    <n v="2023"/>
    <n v="101228"/>
    <n v="91"/>
    <s v="Mt. Poso Cogeneration Company"/>
    <x v="2"/>
    <n v="221117"/>
    <s v="Biomass Electric Power Generation"/>
    <s v="36157 Famoso Rd, Bakersfield, CA 93308"/>
    <s v="Bakersfield"/>
    <s v="California"/>
    <n v="93308"/>
    <n v="35.576000000000001"/>
    <n v="-119.006"/>
    <s v="CA06029005201"/>
    <s v="Kern"/>
    <s v="San Joaquin Valley APCD"/>
    <s v="San Joaquin Valley"/>
    <x v="1"/>
    <n v="248722"/>
    <n v="7140"/>
    <n v="241583"/>
    <n v="244325"/>
    <n v="68.599999999999994"/>
    <n v="9"/>
    <x v="0"/>
    <n v="0"/>
    <x v="68"/>
    <x v="20"/>
    <n v="9.1999999999999993"/>
    <x v="61"/>
  </r>
  <r>
    <n v="2023"/>
    <n v="101231"/>
    <n v="724"/>
    <s v="Grade 6 Oil, LLC"/>
    <x v="5"/>
    <n v="211111"/>
    <s v="Crude Petroleum and Natural Gas Extraction"/>
    <s v="3300 Manor Street, Bakersfield, CA 93308"/>
    <s v="Bakersfield"/>
    <s v="California"/>
    <n v="93308"/>
    <n v="35.44"/>
    <n v="-119.01300000000001"/>
    <s v="CA06029005103"/>
    <s v="Kern"/>
    <s v="San Joaquin Valley APCD"/>
    <s v="San Joaquin Valley"/>
    <x v="0"/>
    <n v="62586"/>
    <n v="62586"/>
    <n v="0"/>
    <n v="62064"/>
    <n v="19.61"/>
    <n v="0.11"/>
    <x v="58"/>
    <n v="0.3"/>
    <x v="69"/>
    <x v="8"/>
    <n v="0.4"/>
    <x v="62"/>
  </r>
  <r>
    <n v="2023"/>
    <n v="101235"/>
    <n v="2076"/>
    <s v="Frito Lay - Kern Plant"/>
    <x v="0"/>
    <n v="311919"/>
    <s v="Other Snack Food Manufacturing"/>
    <s v="28801 Highway 58, Bakersfield, CA 93314"/>
    <s v="Bakersfield"/>
    <s v="California"/>
    <n v="93314"/>
    <n v="35.398000000000003"/>
    <n v="-119.322"/>
    <s v="CA06029003700"/>
    <s v="Kern"/>
    <s v="San Joaquin Valley APCD"/>
    <s v="San Joaquin Valley"/>
    <x v="0"/>
    <n v="32189"/>
    <n v="32189"/>
    <n v="0"/>
    <n v="32156"/>
    <n v="0.61"/>
    <n v="0.06"/>
    <x v="59"/>
    <n v="1"/>
    <x v="70"/>
    <x v="40"/>
    <n v="38.5"/>
    <x v="63"/>
  </r>
  <r>
    <n v="2023"/>
    <n v="101237"/>
    <n v="33"/>
    <s v="Bakersfield Renewable Fuels - Area 1 &amp; 2"/>
    <x v="4"/>
    <n v="324110"/>
    <s v="Petroleum Refineries"/>
    <s v="6451 Rosedale Highway, Bakersfield, CA 93308"/>
    <s v="Bakersfield"/>
    <s v="California"/>
    <n v="93308"/>
    <n v="35.381999999999998"/>
    <n v="-119.071"/>
    <s v="CA06029000507"/>
    <s v="Kern"/>
    <s v="San Joaquin Valley APCD"/>
    <s v="San Joaquin Valley"/>
    <x v="1"/>
    <n v="14693"/>
    <n v="14693"/>
    <n v="0"/>
    <n v="14678"/>
    <n v="0.28000000000000003"/>
    <n v="0.03"/>
    <x v="0"/>
    <n v="10.199999999999999"/>
    <x v="71"/>
    <x v="8"/>
    <n v="2.5"/>
    <x v="64"/>
  </r>
  <r>
    <n v="2023"/>
    <n v="101239"/>
    <n v="36"/>
    <s v="San Joaquin Refining Company"/>
    <x v="4"/>
    <n v="324110"/>
    <s v="Petroleum Refineries"/>
    <s v="3542 Shell Street, Bakersfield, CA 93308"/>
    <s v="Bakersfield"/>
    <s v="California"/>
    <n v="93308"/>
    <n v="35.396999999999998"/>
    <n v="-119.048"/>
    <s v="CA06029000507"/>
    <s v="Kern"/>
    <s v="San Joaquin Valley APCD"/>
    <s v="San Joaquin Valley"/>
    <x v="0"/>
    <n v="86956"/>
    <n v="86956"/>
    <n v="0"/>
    <n v="86410"/>
    <n v="19.02"/>
    <n v="0.24"/>
    <x v="60"/>
    <n v="61.5"/>
    <x v="72"/>
    <x v="19"/>
    <n v="4.2"/>
    <x v="65"/>
  </r>
  <r>
    <n v="2023"/>
    <n v="101241"/>
    <n v="10"/>
    <s v="Spreckels Sugar Company, Inc.- Brawley"/>
    <x v="0"/>
    <n v="311313"/>
    <s v="Beet Sugar Manufacturing"/>
    <s v="395 W Keystone Rd, Brawley, CA 92227"/>
    <s v="Brawley"/>
    <s v="California"/>
    <n v="92227"/>
    <n v="32.912999999999997"/>
    <n v="-115.57"/>
    <s v="CA06025011000"/>
    <s v="Imperial"/>
    <s v="Imperial County APCD"/>
    <s v="Salton Sea"/>
    <x v="0"/>
    <n v="65986"/>
    <n v="65976"/>
    <n v="10"/>
    <n v="65891"/>
    <n v="1.58"/>
    <n v="0.19"/>
    <x v="61"/>
    <n v="19.5"/>
    <x v="73"/>
    <x v="8"/>
    <n v="19.5"/>
    <x v="66"/>
  </r>
  <r>
    <n v="2023"/>
    <n v="101243"/>
    <n v="44"/>
    <s v="Dicalite Minerals Corp."/>
    <x v="0"/>
    <n v="212399"/>
    <s v="All Other Nonmetallic Mineral Mining"/>
    <s v="36994 Summit Lake Rd., Burney, CA 96013"/>
    <s v="Burney"/>
    <s v="California"/>
    <n v="96013"/>
    <n v="41.030999999999999"/>
    <n v="-121.682"/>
    <s v="CA06089012701"/>
    <s v="Shasta"/>
    <s v="Shasta County AQMD"/>
    <s v="Sacramento Valley"/>
    <x v="0"/>
    <n v="28297"/>
    <n v="28297"/>
    <n v="0"/>
    <n v="28201"/>
    <n v="1.1299999999999999"/>
    <n v="0.23"/>
    <x v="62"/>
    <n v="4.3"/>
    <x v="21"/>
    <x v="40"/>
    <n v="11.1"/>
    <x v="67"/>
  </r>
  <r>
    <n v="2023"/>
    <n v="101246"/>
    <n v="800436"/>
    <s v="Los Angeles Refinery (LAR)"/>
    <x v="4"/>
    <n v="324110"/>
    <s v="Petroleum Refineries"/>
    <s v="Carson One Campus, 2350 E. 223rd Street, Carson, CA 90810"/>
    <s v="Carson"/>
    <s v="California"/>
    <n v="90810"/>
    <n v="33.823999999999998"/>
    <n v="-118.233"/>
    <s v="CA06037980002"/>
    <s v="Los Angeles"/>
    <s v="South Coast AQMD"/>
    <s v="South Coast"/>
    <x v="0"/>
    <n v="6131915"/>
    <n v="6131915"/>
    <n v="0"/>
    <n v="6114736"/>
    <n v="277.11"/>
    <n v="34.4"/>
    <x v="63"/>
    <n v="898.5"/>
    <x v="74"/>
    <x v="42"/>
    <n v="417.1"/>
    <x v="68"/>
  </r>
  <r>
    <n v="2023"/>
    <n v="101248"/>
    <n v="3417"/>
    <s v="Air Products Carson Hydrogen Plant"/>
    <x v="3"/>
    <n v="325120"/>
    <s v="Industrial Gas Manufacturing"/>
    <s v="23300 S. Alameda St., Carson, CA 90810"/>
    <s v="Carson"/>
    <s v="California"/>
    <n v="90810"/>
    <n v="33.813000000000002"/>
    <n v="-118.233"/>
    <s v="CA06037980002"/>
    <s v="Los Angeles"/>
    <s v="South Coast AQMD"/>
    <s v="South Coast"/>
    <x v="0"/>
    <n v="655513"/>
    <n v="655513"/>
    <n v="0"/>
    <n v="655310"/>
    <n v="2.0099999999999998"/>
    <n v="0.51"/>
    <x v="64"/>
    <n v="8.9"/>
    <x v="75"/>
    <x v="21"/>
    <n v="11"/>
    <x v="69"/>
  </r>
  <r>
    <n v="2023"/>
    <n v="101250"/>
    <n v="15"/>
    <s v="Collins Pine Co."/>
    <x v="0"/>
    <n v="321113"/>
    <s v="Sawmills"/>
    <s v="500 Main St., Chester, CA 96020"/>
    <s v="Chester"/>
    <s v="California"/>
    <n v="96020"/>
    <n v="40.302999999999997"/>
    <n v="-121.24299999999999"/>
    <s v="CA06063000501"/>
    <s v="Plumas"/>
    <s v="Northern Sierra AQMD"/>
    <s v="Mountain Counties"/>
    <x v="1"/>
    <n v="61591"/>
    <n v="687"/>
    <n v="60904"/>
    <n v="60904"/>
    <n v="10.72"/>
    <n v="1.41"/>
    <x v="0"/>
    <n v="2.8"/>
    <x v="76"/>
    <x v="10"/>
    <n v="8.6999999999999993"/>
    <x v="70"/>
  </r>
  <r>
    <n v="2023"/>
    <n v="101260"/>
    <n v="3721"/>
    <s v="Dart Container Corporation of California"/>
    <x v="0"/>
    <n v="326140"/>
    <s v="Polystyrene Foam Product Manufacturing"/>
    <s v="150 South Maple Street, Corona, CA 92880"/>
    <s v="Corona"/>
    <s v="California"/>
    <n v="92880"/>
    <n v="33.884999999999998"/>
    <n v="-117.602"/>
    <s v="CA06065041500"/>
    <s v="Riverside"/>
    <s v="South Coast AQMD"/>
    <s v="South Coast"/>
    <x v="1"/>
    <n v="14139"/>
    <n v="14139"/>
    <n v="0"/>
    <n v="14125"/>
    <n v="0.27"/>
    <n v="0.03"/>
    <x v="0"/>
    <n v="114.8"/>
    <x v="77"/>
    <x v="8"/>
    <n v="1.4"/>
    <x v="71"/>
  </r>
  <r>
    <n v="2023"/>
    <n v="101263"/>
    <n v="8664"/>
    <s v="Crockett Cogeneration Project, LP"/>
    <x v="2"/>
    <n v="221112"/>
    <s v="Fossil Fuel Electric Power Generation"/>
    <s v="550 Loring Avenue, Crockett, CA 94525"/>
    <s v="Crockett"/>
    <s v="California"/>
    <n v="94525"/>
    <n v="38.057000000000002"/>
    <n v="-122.214"/>
    <s v="CA06013357000"/>
    <s v="Contra Costa"/>
    <s v="Bay Area AQMD"/>
    <s v="San Francisco Bay Area"/>
    <x v="0"/>
    <n v="694734"/>
    <n v="694734"/>
    <n v="0"/>
    <n v="694017"/>
    <n v="13.09"/>
    <n v="1.31"/>
    <x v="65"/>
    <n v="13.1"/>
    <x v="78"/>
    <x v="43"/>
    <n v="11.3"/>
    <x v="72"/>
  </r>
  <r>
    <n v="2023"/>
    <n v="101271"/>
    <n v="21"/>
    <s v="U.S. Gypsum Co Plaster City Plant"/>
    <x v="0"/>
    <n v="327420"/>
    <s v="Gypsum Product Manufacturing"/>
    <s v="3810 W. Evan Hewes Highway, El Centro, CA 92243"/>
    <s v="El Centro"/>
    <s v="California"/>
    <n v="92243"/>
    <n v="32.792000000000002"/>
    <n v="-115.864"/>
    <s v="CA06025012301"/>
    <s v="Imperial"/>
    <s v="Imperial County APCD"/>
    <s v="Salton Sea"/>
    <x v="0"/>
    <n v="63883"/>
    <n v="63883"/>
    <n v="0"/>
    <n v="63817"/>
    <n v="1.2"/>
    <n v="0.12"/>
    <x v="66"/>
    <n v="10.3"/>
    <x v="79"/>
    <x v="8"/>
    <n v="56.2"/>
    <x v="73"/>
  </r>
  <r>
    <n v="2023"/>
    <n v="101280"/>
    <n v="29110"/>
    <s v="Orange County Sanitation District - Plant 2"/>
    <x v="0"/>
    <n v="221320"/>
    <s v="Sewage Treatment Facilities"/>
    <s v="22212 Brookhurst Street, Huntington Beach, CA 92646"/>
    <s v="Huntington Beach"/>
    <s v="California"/>
    <n v="92646"/>
    <n v="33.64"/>
    <n v="-117.959"/>
    <s v="CA06059099240"/>
    <s v="Orange"/>
    <s v="South Coast AQMD"/>
    <s v="South Coast"/>
    <x v="1"/>
    <n v="35128"/>
    <n v="8008"/>
    <n v="27121"/>
    <n v="34981"/>
    <n v="1.81"/>
    <n v="0.34"/>
    <x v="0"/>
    <n v="10.6"/>
    <x v="41"/>
    <x v="11"/>
    <n v="0.9"/>
    <x v="20"/>
  </r>
  <r>
    <n v="2023"/>
    <n v="101284"/>
    <n v="20330"/>
    <s v="Olam West Coast, Inc. - Gilroy"/>
    <x v="0"/>
    <n v="311423"/>
    <s v="Dried and Dehydrated Food Manufacturing"/>
    <s v="1350 Pacheco Pass Hwy, Gilroy, CA 95020"/>
    <s v="Gilroy"/>
    <s v="California"/>
    <n v="95020"/>
    <n v="37.003"/>
    <n v="-121.539"/>
    <s v="CA06085512602"/>
    <s v="Santa Clara"/>
    <s v="Bay Area AQMD"/>
    <s v="San Francisco Bay Area"/>
    <x v="0"/>
    <n v="55274"/>
    <n v="55274"/>
    <n v="0"/>
    <n v="55216"/>
    <n v="1.04"/>
    <n v="0.1"/>
    <x v="67"/>
    <n v="2.2000000000000002"/>
    <x v="80"/>
    <x v="21"/>
    <n v="2.1"/>
    <x v="67"/>
  </r>
  <r>
    <n v="2023"/>
    <n v="101288"/>
    <n v="1275"/>
    <s v="Hilmar Cheese Company"/>
    <x v="0"/>
    <n v="311513"/>
    <s v="Cheese Manufacturing"/>
    <s v="9001 Lander Avenue, Hilmar, CA 95324"/>
    <s v="Hilmar"/>
    <s v="California"/>
    <n v="95324"/>
    <n v="37.252000000000002"/>
    <n v="-120.511"/>
    <s v="CA06047000901"/>
    <s v="Merced"/>
    <s v="San Joaquin Valley APCD"/>
    <s v="San Joaquin Valley"/>
    <x v="0"/>
    <n v="76264"/>
    <n v="71853"/>
    <n v="4411"/>
    <n v="76168"/>
    <n v="1.62"/>
    <n v="0.19"/>
    <x v="68"/>
    <n v="3.6"/>
    <x v="81"/>
    <x v="44"/>
    <n v="9.1"/>
    <x v="74"/>
  </r>
  <r>
    <n v="2023"/>
    <n v="101290"/>
    <n v="535"/>
    <s v="PG&amp;E Hinkley Compressor Station"/>
    <x v="5"/>
    <n v="221210"/>
    <s v="Natural Gas Distribution"/>
    <s v="35863 Fairview Road, Hinkley, CA 92347"/>
    <s v="Hinkley"/>
    <s v="California"/>
    <n v="92347"/>
    <n v="34.902999999999999"/>
    <n v="-117.158"/>
    <s v="CA06071011900"/>
    <s v="San Bernardino"/>
    <s v="Mojave Desert AQMD"/>
    <s v="Mojave Desert"/>
    <x v="0"/>
    <n v="59912"/>
    <n v="59912"/>
    <n v="0"/>
    <n v="55784"/>
    <n v="163.84"/>
    <n v="0.11"/>
    <x v="69"/>
    <n v="13"/>
    <x v="82"/>
    <x v="40"/>
    <n v="24.5"/>
    <x v="75"/>
  </r>
  <r>
    <n v="2023"/>
    <n v="101296"/>
    <n v="800288"/>
    <s v="University of California, Irvine"/>
    <x v="0"/>
    <n v="611310"/>
    <s v="Colleges, Universities, and Professional Schools"/>
    <s v="902 West Peltason Drive, Irvine, CA 92697"/>
    <s v="Irvine"/>
    <s v="California"/>
    <n v="92697"/>
    <n v="33.639000000000003"/>
    <n v="-117.85"/>
    <s v="CA06059062614"/>
    <s v="Orange"/>
    <s v="South Coast AQMD"/>
    <s v="South Coast"/>
    <x v="0"/>
    <n v="63863"/>
    <n v="63863"/>
    <n v="0"/>
    <n v="63797"/>
    <n v="1.2"/>
    <n v="0.12"/>
    <x v="70"/>
    <n v="1.1000000000000001"/>
    <x v="83"/>
    <x v="28"/>
    <n v="8.9"/>
    <x v="76"/>
  </r>
  <r>
    <n v="2023"/>
    <n v="101297"/>
    <m/>
    <s v="Irwindale Brew Yard, LLC"/>
    <x v="0"/>
    <n v="312120"/>
    <s v="Breweries"/>
    <s v="15801 East 1st Street, Irwindale, CA 91706"/>
    <s v="Irwindale"/>
    <s v="California"/>
    <n v="91706"/>
    <n v="34.125999999999998"/>
    <n v="-117.93899999999999"/>
    <s v="CA06037404600"/>
    <s v="Los Angeles"/>
    <s v="South Coast AQMD"/>
    <s v="South Coast"/>
    <x v="1"/>
    <n v="3314"/>
    <n v="3314"/>
    <n v="0"/>
    <n v="3311"/>
    <n v="0.06"/>
    <n v="0.01"/>
    <x v="0"/>
    <n v="0"/>
    <x v="23"/>
    <x v="11"/>
    <n v="0"/>
    <x v="17"/>
  </r>
  <r>
    <n v="2023"/>
    <n v="101305"/>
    <n v="517"/>
    <s v="University of California, San Diego, UCSD"/>
    <x v="0"/>
    <n v="611310"/>
    <s v="Colleges, Universities, and Professional Schools"/>
    <s v="9500 Gilman Drive #0089, La Jolla, CA 92093"/>
    <s v="La Jolla"/>
    <s v="California"/>
    <n v="92093"/>
    <n v="32.875"/>
    <n v="-117.24"/>
    <s v="CA06073008305"/>
    <s v="San Diego"/>
    <s v="San Diego County APCD"/>
    <s v="San Diego"/>
    <x v="0"/>
    <n v="161567"/>
    <n v="161567"/>
    <n v="0"/>
    <n v="161400"/>
    <n v="3.04"/>
    <n v="0.3"/>
    <x v="71"/>
    <n v="1.7"/>
    <x v="84"/>
    <x v="45"/>
    <n v="8.6999999999999993"/>
    <x v="61"/>
  </r>
  <r>
    <n v="2023"/>
    <n v="101314"/>
    <n v="21"/>
    <s v="National Cement Company - Lebec"/>
    <x v="1"/>
    <n v="327310"/>
    <s v="Cement Manufacturing"/>
    <s v="5 miles east of Interstate 5, off Highway 138, Lebec, CA 93243"/>
    <s v="Lebec"/>
    <s v="California"/>
    <n v="93243"/>
    <n v="34.82"/>
    <n v="-118.75"/>
    <s v="CA06029006007"/>
    <s v="Kern"/>
    <s v="Eastern Kern APCD"/>
    <s v="Mojave Desert"/>
    <x v="0"/>
    <n v="810153"/>
    <n v="686044"/>
    <n v="124109"/>
    <n v="805889"/>
    <n v="65.19"/>
    <n v="8.84"/>
    <x v="72"/>
    <n v="34.299999999999997"/>
    <x v="85"/>
    <x v="46"/>
    <n v="210.8"/>
    <x v="77"/>
  </r>
  <r>
    <n v="2023"/>
    <n v="101315"/>
    <n v="1657"/>
    <s v="Sensient Natural Ingredients LLC"/>
    <x v="0"/>
    <n v="311423"/>
    <s v="Dried and Dehydrated Food Manufacturing"/>
    <s v="9984 West Walnut Avenue, Livingston, CA 95334"/>
    <s v="Livingston"/>
    <s v="California"/>
    <n v="95334"/>
    <n v="37.393000000000001"/>
    <n v="-120.66500000000001"/>
    <s v="CA06047000505"/>
    <s v="Merced"/>
    <s v="San Joaquin Valley APCD"/>
    <s v="San Joaquin Valley"/>
    <x v="0"/>
    <n v="53255"/>
    <n v="53255"/>
    <n v="0"/>
    <n v="53200"/>
    <n v="1"/>
    <n v="0.1"/>
    <x v="73"/>
    <n v="2.2000000000000002"/>
    <x v="86"/>
    <x v="10"/>
    <n v="5"/>
    <x v="78"/>
  </r>
  <r>
    <n v="2023"/>
    <n v="101318"/>
    <n v="12"/>
    <s v="Imerys Filtration Minerals, Inc."/>
    <x v="0"/>
    <n v="212399"/>
    <s v="All Other Nonmetallic Mineral Mining"/>
    <s v="2500 Miguelito Road, Lompoc, CA 93436"/>
    <s v="Lompoc"/>
    <s v="California"/>
    <n v="93436"/>
    <n v="34.600999999999999"/>
    <n v="-120.45399999999999"/>
    <s v="CA06083003102"/>
    <s v="Santa Barbara"/>
    <s v="Santa Barbara County APCD"/>
    <s v="South Central Coast"/>
    <x v="0"/>
    <n v="31165"/>
    <n v="31165"/>
    <n v="0"/>
    <n v="31132"/>
    <n v="0.6"/>
    <n v="0.06"/>
    <x v="74"/>
    <n v="1.3"/>
    <x v="87"/>
    <x v="34"/>
    <n v="22.9"/>
    <x v="79"/>
  </r>
  <r>
    <n v="2023"/>
    <n v="101323"/>
    <n v="800335"/>
    <s v="Los Angeles International Airport (LAX)"/>
    <x v="0"/>
    <n v="488119"/>
    <s v="Other Airport Operations"/>
    <s v="275 Center Way, Los Angeles, CA 90045"/>
    <s v="Los Angeles"/>
    <s v="California"/>
    <n v="90045"/>
    <n v="33.944000000000003"/>
    <n v="-118.405"/>
    <s v="CA06037980028"/>
    <s v="Los Angeles"/>
    <s v="South Coast AQMD"/>
    <s v="South Coast"/>
    <x v="0"/>
    <n v="30959"/>
    <n v="30959"/>
    <n v="0"/>
    <n v="30927"/>
    <n v="0.57999999999999996"/>
    <n v="0.06"/>
    <x v="75"/>
    <n v="9.3000000000000007"/>
    <x v="88"/>
    <x v="21"/>
    <n v="3.8"/>
    <x v="45"/>
  </r>
  <r>
    <n v="2023"/>
    <n v="101331"/>
    <n v="14628"/>
    <s v="Martinez Renewable Fuel Facility"/>
    <x v="4"/>
    <n v="325199"/>
    <s v="All Other Basic Organic Chemical Manufacturing"/>
    <s v="150 Solano Way, Martinez, CA 94553"/>
    <s v="Martinez"/>
    <s v="California"/>
    <n v="94553"/>
    <n v="38.03"/>
    <n v="-122.074"/>
    <s v="CA06013320001"/>
    <s v="Contra Costa"/>
    <s v="Bay Area AQMD"/>
    <s v="San Francisco Bay Area"/>
    <x v="0"/>
    <n v="765312"/>
    <n v="735703"/>
    <n v="29609"/>
    <n v="763240"/>
    <n v="55.72"/>
    <n v="2.2799999999999998"/>
    <x v="76"/>
    <n v="103"/>
    <x v="89"/>
    <x v="47"/>
    <n v="63.5"/>
    <x v="80"/>
  </r>
  <r>
    <n v="2023"/>
    <n v="101342"/>
    <n v="801"/>
    <s v="Ardagh Glass Inc."/>
    <x v="0"/>
    <n v="327213"/>
    <s v="Glass Container Manufacturing"/>
    <s v="24441 Avenue 12, Madera, CA 93637"/>
    <s v="Madera"/>
    <s v="California"/>
    <n v="93637"/>
    <n v="36.923999999999999"/>
    <n v="-120.10299999999999"/>
    <s v="CA06039000503"/>
    <s v="Madera"/>
    <s v="San Joaquin Valley APCD"/>
    <s v="San Joaquin Valley"/>
    <x v="0"/>
    <n v="71288"/>
    <n v="71288"/>
    <n v="0"/>
    <n v="71235"/>
    <n v="0.97"/>
    <n v="0.1"/>
    <x v="77"/>
    <n v="4.0999999999999996"/>
    <x v="90"/>
    <x v="48"/>
    <n v="13.2"/>
    <x v="81"/>
  </r>
  <r>
    <n v="2023"/>
    <n v="101346"/>
    <n v="68"/>
    <s v="Southern California Gas Co - South Needles Facility"/>
    <x v="5"/>
    <n v="486210"/>
    <s v="Pipeline Transportation of Natural Gas"/>
    <s v="24204 S. Highway 95, Needles, CA 92363"/>
    <s v="Needles"/>
    <s v="California"/>
    <n v="92363"/>
    <n v="34.692999999999998"/>
    <n v="-114.61199999999999"/>
    <s v="CA06071025100"/>
    <s v="San Bernardino"/>
    <s v="Mojave Desert AQMD"/>
    <s v="Mojave Desert"/>
    <x v="1"/>
    <n v="17799"/>
    <n v="17799"/>
    <n v="0"/>
    <n v="17781"/>
    <n v="0.34"/>
    <n v="0.03"/>
    <x v="0"/>
    <n v="4.7"/>
    <x v="91"/>
    <x v="8"/>
    <n v="7.3"/>
    <x v="82"/>
  </r>
  <r>
    <n v="2023"/>
    <n v="101348"/>
    <n v="65"/>
    <s v="Southern California Gas Co - Newberry Springs Facility"/>
    <x v="5"/>
    <n v="486210"/>
    <s v="Pipeline Transportation of Natural Gas"/>
    <s v="28901 Fort Cady Road, Newberry Springs, CA 92365"/>
    <s v="Newberry Springs"/>
    <s v="California"/>
    <n v="92365"/>
    <n v="34.780999999999999"/>
    <n v="-116.59399999999999"/>
    <s v="CA06071010300"/>
    <s v="San Bernardino"/>
    <s v="Mojave Desert AQMD"/>
    <s v="Mojave Desert"/>
    <x v="1"/>
    <n v="18286"/>
    <n v="18286"/>
    <n v="0"/>
    <n v="18267"/>
    <n v="0.34"/>
    <n v="0.03"/>
    <x v="0"/>
    <n v="7.7"/>
    <x v="92"/>
    <x v="8"/>
    <n v="7.5"/>
    <x v="56"/>
  </r>
  <r>
    <n v="2023"/>
    <n v="101349"/>
    <n v="800128"/>
    <s v="Southern California Gas Co - Aliso Canyon Facility"/>
    <x v="5"/>
    <n v="486210"/>
    <s v="Pipeline Transportation of Natural Gas"/>
    <s v="12801 Tampa Avenue, Northridge, CA 91326"/>
    <s v="Northridge"/>
    <s v="California"/>
    <n v="91326"/>
    <n v="34.308"/>
    <n v="-118.55200000000001"/>
    <s v="CA06037920303"/>
    <s v="Los Angeles"/>
    <s v="South Coast AQMD"/>
    <s v="South Coast"/>
    <x v="1"/>
    <n v="8305"/>
    <n v="8305"/>
    <n v="0"/>
    <n v="8297"/>
    <n v="0.16"/>
    <n v="0.02"/>
    <x v="0"/>
    <n v="56.7"/>
    <x v="93"/>
    <x v="8"/>
    <n v="2.2999999999999998"/>
    <x v="49"/>
  </r>
  <r>
    <n v="2023"/>
    <n v="101356"/>
    <n v="157"/>
    <s v="New-Indy Oxnard LLC"/>
    <x v="0"/>
    <n v="322130"/>
    <s v="Paperboard Mills"/>
    <s v="5936 Perkins Road, Oxnard, CA 90333"/>
    <s v="Oxnard"/>
    <s v="California"/>
    <n v="90333"/>
    <n v="34.145000000000003"/>
    <n v="-119.184"/>
    <s v="CA06111004715"/>
    <s v="Ventura"/>
    <s v="Ventura County APCD"/>
    <s v="South Central Coast"/>
    <x v="0"/>
    <n v="122587"/>
    <n v="122587"/>
    <n v="0"/>
    <n v="122460"/>
    <n v="2.31"/>
    <n v="0.23"/>
    <x v="78"/>
    <n v="3.3"/>
    <x v="62"/>
    <x v="27"/>
    <n v="8.1"/>
    <x v="83"/>
  </r>
  <r>
    <n v="2023"/>
    <n v="101358"/>
    <m/>
    <s v="Northrop Grumman - Palmdale"/>
    <x v="0"/>
    <n v="336411"/>
    <s v="Aircraft Manufacturing"/>
    <s v="3520 E Avenue M, Palmdale, CA 93550"/>
    <s v="Palmdale"/>
    <s v="California"/>
    <n v="93550"/>
    <n v="34.642000000000003"/>
    <n v="-118.071"/>
    <s v="CA06037980004"/>
    <s v="Los Angeles"/>
    <s v="Antelope Valley AQMD"/>
    <s v="Mojave Desert"/>
    <x v="1"/>
    <n v="17176"/>
    <n v="17176"/>
    <n v="0"/>
    <n v="17158"/>
    <n v="0.32"/>
    <n v="0.03"/>
    <x v="0"/>
    <n v="0"/>
    <x v="23"/>
    <x v="11"/>
    <n v="0"/>
    <x v="17"/>
  </r>
  <r>
    <n v="2023"/>
    <n v="101378"/>
    <n v="3"/>
    <s v="Sierra Pacific Industries (SPI) - Quincy Division"/>
    <x v="0"/>
    <n v="321113"/>
    <s v="Sawmills"/>
    <s v="1538 Lee Road, Quincy, CA 95971"/>
    <s v="Quincy"/>
    <s v="California"/>
    <n v="95971"/>
    <n v="39.94"/>
    <n v="-120.913"/>
    <s v="CA06063000100"/>
    <s v="Plumas"/>
    <s v="Northern Sierra AQMD"/>
    <s v="Mountain Counties"/>
    <x v="1"/>
    <n v="406572"/>
    <n v="8612"/>
    <n v="397961"/>
    <n v="398203"/>
    <n v="130.53"/>
    <n v="17.13"/>
    <x v="0"/>
    <n v="21.6"/>
    <x v="94"/>
    <x v="34"/>
    <n v="18.8"/>
    <x v="84"/>
  </r>
  <r>
    <n v="2023"/>
    <n v="101381"/>
    <n v="2"/>
    <s v="CalPortland Redding Cement Plant"/>
    <x v="1"/>
    <n v="327310"/>
    <s v="Cement Manufacturing"/>
    <s v="15390 Wonderland Blvd, Redding, CA 96003"/>
    <s v="Redding"/>
    <s v="California"/>
    <n v="96003"/>
    <n v="40.737000000000002"/>
    <n v="-122.324"/>
    <s v="CA06089011803"/>
    <s v="Shasta"/>
    <s v="Shasta County AQMD"/>
    <s v="Sacramento Valley"/>
    <x v="0"/>
    <n v="372761"/>
    <n v="365334"/>
    <n v="7427"/>
    <n v="371412"/>
    <n v="20.52"/>
    <n v="2.81"/>
    <x v="79"/>
    <n v="6.7"/>
    <x v="95"/>
    <x v="49"/>
    <n v="231"/>
    <x v="85"/>
  </r>
  <r>
    <n v="2023"/>
    <n v="101384"/>
    <n v="10"/>
    <s v="Chevron Products Company - Richmond Refinery, 94802"/>
    <x v="4"/>
    <n v="324110"/>
    <s v="Petroleum Refineries"/>
    <s v="841 Chevron Way, Richmond, CA 94802"/>
    <s v="Richmond"/>
    <s v="California"/>
    <n v="94802"/>
    <n v="37.93"/>
    <n v="-122.389"/>
    <s v="CA06013378000"/>
    <s v="Contra Costa"/>
    <s v="Bay Area AQMD"/>
    <s v="San Francisco Bay Area"/>
    <x v="0"/>
    <n v="4342180"/>
    <n v="4342180"/>
    <n v="0"/>
    <n v="4327591"/>
    <n v="236.38"/>
    <n v="29.13"/>
    <x v="80"/>
    <n v="403.1"/>
    <x v="96"/>
    <x v="50"/>
    <n v="412"/>
    <x v="86"/>
  </r>
  <r>
    <n v="2023"/>
    <n v="101399"/>
    <n v="351"/>
    <s v="California State University, San Diego"/>
    <x v="0"/>
    <n v="611310"/>
    <s v="Colleges, Universities, and Professional Schools"/>
    <s v="5500 Campanile Dr, San Diego, CA 92182"/>
    <s v="San Diego"/>
    <s v="California"/>
    <n v="92182"/>
    <n v="32.777999999999999"/>
    <n v="-117.07"/>
    <s v="CA06073002801"/>
    <s v="San Diego"/>
    <s v="San Diego County APCD"/>
    <s v="San Diego"/>
    <x v="0"/>
    <n v="50456"/>
    <n v="50456"/>
    <n v="0"/>
    <n v="50404"/>
    <n v="0.95"/>
    <n v="0.1"/>
    <x v="81"/>
    <n v="0.7"/>
    <x v="16"/>
    <x v="40"/>
    <n v="3"/>
    <x v="87"/>
  </r>
  <r>
    <n v="2023"/>
    <n v="101400"/>
    <n v="5640"/>
    <s v="Qualcomm, Inc. - Morehouse Facility"/>
    <x v="0"/>
    <n v="541990"/>
    <s v="All Other Professional, Scientific, and Technical Services"/>
    <s v="5555 Morehouse Dr, San Diego, CA 92121"/>
    <s v="San Diego"/>
    <s v="California"/>
    <n v="92121"/>
    <n v="32.893999999999998"/>
    <n v="-117.197"/>
    <s v="CA06073008346"/>
    <s v="San Diego"/>
    <s v="San Diego County APCD"/>
    <s v="San Diego"/>
    <x v="1"/>
    <n v="21827"/>
    <n v="21827"/>
    <n v="0"/>
    <n v="21804"/>
    <n v="0.41"/>
    <n v="0.04"/>
    <x v="0"/>
    <n v="0.7"/>
    <x v="97"/>
    <x v="8"/>
    <n v="1.2"/>
    <x v="11"/>
  </r>
  <r>
    <n v="2023"/>
    <n v="101416"/>
    <n v="13160"/>
    <s v="University of California, San Francisco"/>
    <x v="0"/>
    <n v="611310"/>
    <s v="Colleges, Universities, and Professional Schools"/>
    <s v="25 Medical Center Way, San Francisco, CA 94143"/>
    <s v="San Francisco"/>
    <s v="California"/>
    <n v="94143"/>
    <n v="37.762999999999998"/>
    <n v="-122.456"/>
    <s v="CA06075030102"/>
    <s v="San Francisco"/>
    <s v="Bay Area AQMD"/>
    <s v="San Francisco Bay Area"/>
    <x v="0"/>
    <n v="52282"/>
    <n v="52282"/>
    <n v="0"/>
    <n v="52228"/>
    <n v="0.99"/>
    <n v="0.1"/>
    <x v="82"/>
    <n v="1.4"/>
    <x v="98"/>
    <x v="8"/>
    <n v="0.4"/>
    <x v="62"/>
  </r>
  <r>
    <n v="2023"/>
    <n v="101438"/>
    <m/>
    <s v="Silicon Valley Power (SVP), City of Santa Clara , Cogen"/>
    <x v="2"/>
    <n v="221112"/>
    <s v="Fossil Fuel Electric Power Generation"/>
    <s v="524 Robert Avenue, Santa Clara, CA 95050"/>
    <s v="Santa Clara"/>
    <s v="California"/>
    <n v="95050"/>
    <n v="37.365000000000002"/>
    <n v="-121.944"/>
    <s v="CA06085505202"/>
    <s v="Santa Clara"/>
    <s v="Bay Area AQMD"/>
    <s v="San Francisco Bay Area"/>
    <x v="0"/>
    <n v="15006"/>
    <n v="15006"/>
    <n v="0"/>
    <n v="14991"/>
    <n v="0.28000000000000003"/>
    <n v="0.03"/>
    <x v="83"/>
    <n v="0"/>
    <x v="23"/>
    <x v="11"/>
    <n v="0"/>
    <x v="17"/>
  </r>
  <r>
    <n v="2023"/>
    <n v="101447"/>
    <n v="255"/>
    <s v="Knauf Insulation"/>
    <x v="0"/>
    <n v="327993"/>
    <s v="Mineral Wool Manufacturing"/>
    <s v="3100 Ashby Road, Shasta Lake, CA 96019"/>
    <s v="Shasta Lake"/>
    <s v="California"/>
    <n v="96019"/>
    <n v="40.658999999999999"/>
    <n v="-122.39"/>
    <s v="CA06089010806"/>
    <s v="Shasta"/>
    <s v="Shasta County AQMD"/>
    <s v="Sacramento Valley"/>
    <x v="1"/>
    <n v="21085"/>
    <n v="21085"/>
    <n v="0"/>
    <n v="21065"/>
    <n v="0.37"/>
    <n v="0.04"/>
    <x v="0"/>
    <n v="4.8"/>
    <x v="99"/>
    <x v="51"/>
    <n v="71.8"/>
    <x v="88"/>
  </r>
  <r>
    <n v="2023"/>
    <n v="101451"/>
    <n v="16024"/>
    <s v="Genentech Inc South San Francisco"/>
    <x v="0"/>
    <n v="325414"/>
    <s v="Biological Product (except Diagnostic) Manufacturing"/>
    <s v="1 DNA Way, South San Francisco, CA 94080"/>
    <s v="South San Francisco"/>
    <s v="California"/>
    <n v="94080"/>
    <n v="37.655000000000001"/>
    <n v="-122.381"/>
    <s v="CA06081602300"/>
    <s v="San Mateo"/>
    <s v="Bay Area AQMD"/>
    <s v="San Francisco Bay Area"/>
    <x v="0"/>
    <n v="26679"/>
    <n v="26679"/>
    <n v="0"/>
    <n v="26652"/>
    <n v="0.5"/>
    <n v="0.05"/>
    <x v="84"/>
    <n v="0"/>
    <x v="23"/>
    <x v="11"/>
    <n v="0"/>
    <x v="17"/>
  </r>
  <r>
    <n v="2023"/>
    <n v="101460"/>
    <n v="3088"/>
    <s v="TRC Cypress Group, LLC"/>
    <x v="5"/>
    <n v="211111"/>
    <s v="Crude Petroleum and Natural Gas Extraction"/>
    <s v="805 Black Gold Ct, Taft, CA 93268"/>
    <s v="Taft"/>
    <s v="California"/>
    <n v="93268"/>
    <n v="35.127000000000002"/>
    <n v="-119.496"/>
    <s v="CA06029003303"/>
    <s v="Kern"/>
    <s v="San Joaquin Valley APCD"/>
    <s v="San Joaquin Valley"/>
    <x v="0"/>
    <n v="26068"/>
    <n v="26068"/>
    <n v="0"/>
    <n v="25604"/>
    <n v="18.010000000000002"/>
    <n v="0.04"/>
    <x v="85"/>
    <n v="3"/>
    <x v="31"/>
    <x v="16"/>
    <n v="1.5"/>
    <x v="89"/>
  </r>
  <r>
    <n v="2023"/>
    <n v="101461"/>
    <n v="20"/>
    <s v="Tehachapi Cement Plant "/>
    <x v="1"/>
    <n v="327310"/>
    <s v="Cement Manufacturing"/>
    <s v="13573 Tehachapi Blvd, Tehachapi, CA 93561"/>
    <s v="Tehachapi"/>
    <s v="California"/>
    <n v="93561"/>
    <n v="35.121000000000002"/>
    <n v="-118.36799999999999"/>
    <s v="CA06029006004"/>
    <s v="Kern"/>
    <s v="Eastern Kern APCD"/>
    <s v="Mojave Desert"/>
    <x v="0"/>
    <n v="526568"/>
    <n v="509568"/>
    <n v="17000"/>
    <n v="525300"/>
    <n v="18.84"/>
    <n v="2.68"/>
    <x v="86"/>
    <n v="14.1"/>
    <x v="100"/>
    <x v="52"/>
    <n v="36.799999999999997"/>
    <x v="90"/>
  </r>
  <r>
    <n v="2023"/>
    <n v="101465"/>
    <n v="525"/>
    <s v="Land O' Lakes, Inc."/>
    <x v="0"/>
    <n v="311514"/>
    <s v="Dry, Condensed, and Evaporated Dairy Product Manufacturing"/>
    <s v="400 South M Street, Tulare, CA 93274"/>
    <s v="Tulare"/>
    <s v="California"/>
    <n v="93274"/>
    <n v="36.204999999999998"/>
    <n v="-119.343"/>
    <s v="CA06107002901"/>
    <s v="Tulare"/>
    <s v="San Joaquin Valley APCD"/>
    <s v="San Joaquin Valley"/>
    <x v="0"/>
    <n v="60649"/>
    <n v="60649"/>
    <n v="0"/>
    <n v="60586"/>
    <n v="1.1399999999999999"/>
    <n v="0.11"/>
    <x v="87"/>
    <n v="3.2"/>
    <x v="101"/>
    <x v="14"/>
    <n v="20.7"/>
    <x v="91"/>
  </r>
  <r>
    <n v="2023"/>
    <n v="101469"/>
    <n v="83"/>
    <s v="United States Pipe &amp; Foundry Co. LLC"/>
    <x v="0"/>
    <n v="331511"/>
    <s v="Iron Foundries"/>
    <s v="1295 Whipple Road, Union City, CA 94587"/>
    <s v="Union City"/>
    <s v="California"/>
    <n v="94587"/>
    <n v="37.607999999999997"/>
    <n v="-122.041"/>
    <s v="CA06001440301"/>
    <s v="Alameda"/>
    <s v="Bay Area AQMD"/>
    <s v="San Francisco Bay Area"/>
    <x v="0"/>
    <n v="44280"/>
    <n v="44280"/>
    <n v="0"/>
    <n v="44080"/>
    <n v="2.98"/>
    <n v="0.42"/>
    <x v="88"/>
    <n v="32.799999999999997"/>
    <x v="102"/>
    <x v="53"/>
    <n v="3.9"/>
    <x v="64"/>
  </r>
  <r>
    <n v="2023"/>
    <n v="101473"/>
    <n v="16642"/>
    <s v="Anheuser-Busch LLC - Los Angeles Brewery"/>
    <x v="0"/>
    <n v="312120"/>
    <s v="Breweries"/>
    <s v="15800 Roscoe Blvd., Van Nuys, CA 91406"/>
    <s v="Van Nuys"/>
    <s v="California"/>
    <n v="91406"/>
    <n v="34.220999999999997"/>
    <n v="-118.477"/>
    <s v="CA06037127400"/>
    <s v="Los Angeles"/>
    <s v="South Coast AQMD"/>
    <s v="South Coast"/>
    <x v="0"/>
    <n v="34815"/>
    <n v="29576"/>
    <n v="5240"/>
    <n v="34758"/>
    <n v="0.88"/>
    <n v="0.12"/>
    <x v="89"/>
    <n v="69.8"/>
    <x v="103"/>
    <x v="7"/>
    <n v="5.9"/>
    <x v="64"/>
  </r>
  <r>
    <n v="2023"/>
    <n v="101475"/>
    <n v="7427"/>
    <s v="Owens-Brockway Glass Container Inc. Vernon"/>
    <x v="0"/>
    <n v="327213"/>
    <s v="Glass Container Manufacturing"/>
    <s v="2901 Fruitland Ave, Vernon, CA 90058"/>
    <s v="Vernon"/>
    <s v="California"/>
    <n v="90058"/>
    <n v="33.997"/>
    <n v="-118.217"/>
    <s v="CA06037532400"/>
    <s v="Los Angeles"/>
    <s v="South Coast AQMD"/>
    <s v="South Coast"/>
    <x v="0"/>
    <n v="53980"/>
    <n v="53980"/>
    <n v="0"/>
    <n v="53937"/>
    <n v="0.77"/>
    <n v="0.08"/>
    <x v="90"/>
    <n v="2.9"/>
    <x v="104"/>
    <x v="54"/>
    <n v="19.8"/>
    <x v="92"/>
  </r>
  <r>
    <n v="2023"/>
    <n v="101476"/>
    <n v="5"/>
    <s v="Cemex Construction Materials Pacific LLC - Victorville Plant"/>
    <x v="1"/>
    <n v="327310"/>
    <s v="Cement Manufacturing"/>
    <s v="25220 Black Mountain Quarry Road, Apple Valley, CA 92307"/>
    <s v="Apple Valley"/>
    <s v="California"/>
    <n v="92307"/>
    <n v="34.622999999999998"/>
    <n v="-117.1"/>
    <s v="CA06071012104"/>
    <s v="San Bernardino"/>
    <s v="Mojave Desert AQMD"/>
    <s v="Mojave Desert"/>
    <x v="0"/>
    <n v="1952095"/>
    <n v="1817958"/>
    <n v="134137"/>
    <n v="1945163"/>
    <n v="103.71"/>
    <n v="14.56"/>
    <x v="91"/>
    <n v="39.799999999999997"/>
    <x v="105"/>
    <x v="55"/>
    <n v="538.70000000000005"/>
    <x v="93"/>
  </r>
  <r>
    <n v="2023"/>
    <n v="101487"/>
    <n v="800236"/>
    <s v="LACSD - Joint Water Pollution Control Plant"/>
    <x v="0"/>
    <n v="221320"/>
    <s v="Sewage Treatment Facilities"/>
    <s v="24501 S. Figueroa St, Carson, CA 90745"/>
    <s v="Carson"/>
    <s v="California"/>
    <n v="90745"/>
    <n v="33.802999999999997"/>
    <n v="-118.28400000000001"/>
    <s v="CA06037543604"/>
    <s v="Los Angeles"/>
    <s v="South Coast AQMD"/>
    <s v="South Coast"/>
    <x v="1"/>
    <n v="104058"/>
    <n v="19278"/>
    <n v="84780"/>
    <n v="103602"/>
    <n v="5.57"/>
    <n v="1.06"/>
    <x v="0"/>
    <n v="22.4"/>
    <x v="106"/>
    <x v="56"/>
    <n v="12.1"/>
    <x v="94"/>
  </r>
  <r>
    <n v="2023"/>
    <n v="101498"/>
    <n v="1326"/>
    <s v="Morning Star Packing Company - Los Banos"/>
    <x v="0"/>
    <n v="311421"/>
    <s v="Fruit and Vegetable Canning"/>
    <s v="13448 volta rd, Los Banos, CA 93635"/>
    <s v="Los Banos"/>
    <s v="California"/>
    <n v="93635"/>
    <n v="37.094999999999999"/>
    <n v="-120.925"/>
    <s v="CA06047002100"/>
    <s v="Merced"/>
    <s v="San Joaquin Valley APCD"/>
    <s v="San Joaquin Valley"/>
    <x v="0"/>
    <n v="79594"/>
    <n v="79594"/>
    <n v="0"/>
    <n v="79512"/>
    <n v="1.5"/>
    <n v="0.15"/>
    <x v="92"/>
    <n v="2"/>
    <x v="11"/>
    <x v="17"/>
    <n v="2.9"/>
    <x v="87"/>
  </r>
  <r>
    <n v="2023"/>
    <n v="101499"/>
    <n v="1399"/>
    <s v="Liberty Packing - Los Banos (Morning Star)"/>
    <x v="0"/>
    <n v="311421"/>
    <s v="Fruit and Vegetable Canning"/>
    <s v="12045 S Ingomar Grade Road, Los Banos, CA 93635"/>
    <s v="Los Banos"/>
    <s v="California"/>
    <n v="93635"/>
    <n v="37.097000000000001"/>
    <n v="-120.925"/>
    <s v="CA06047002100"/>
    <s v="Merced"/>
    <s v="San Joaquin Valley APCD"/>
    <s v="San Joaquin Valley"/>
    <x v="0"/>
    <n v="149894"/>
    <n v="149894"/>
    <n v="0"/>
    <n v="149739"/>
    <n v="2.82"/>
    <n v="0.28000000000000003"/>
    <x v="93"/>
    <n v="3"/>
    <x v="70"/>
    <x v="57"/>
    <n v="14.3"/>
    <x v="95"/>
  </r>
  <r>
    <n v="2023"/>
    <n v="101502"/>
    <n v="1243"/>
    <s v="Tomatek / Neil Jones Food Companies"/>
    <x v="0"/>
    <n v="311421"/>
    <s v="Fruit and Vegetable Canning"/>
    <s v="2502 N Street, Firebaugh, CA 93622"/>
    <s v="Firebaugh"/>
    <s v="California"/>
    <n v="93622"/>
    <n v="36.834000000000003"/>
    <n v="-120.45399999999999"/>
    <s v="CA06019008401"/>
    <s v="Fresno"/>
    <s v="San Joaquin Valley APCD"/>
    <s v="San Joaquin Valley"/>
    <x v="0"/>
    <n v="37449"/>
    <n v="37449"/>
    <n v="0"/>
    <n v="37410"/>
    <n v="0.71"/>
    <n v="7.0000000000000007E-2"/>
    <x v="94"/>
    <n v="2.2999999999999998"/>
    <x v="107"/>
    <x v="12"/>
    <n v="1.6"/>
    <x v="96"/>
  </r>
  <r>
    <n v="2023"/>
    <n v="101503"/>
    <n v="1976"/>
    <s v="ConAgra - Oakdale"/>
    <x v="0"/>
    <n v="311421"/>
    <s v="Fruit and Vegetable Canning"/>
    <s v="554 South Yosemite Ave, Oakdale, CA 95351"/>
    <s v="Oakdale"/>
    <s v="California"/>
    <n v="95351"/>
    <n v="37.765000000000001"/>
    <n v="-120.849"/>
    <s v="CA06099000202"/>
    <s v="Stanislaus"/>
    <s v="San Joaquin Valley APCD"/>
    <s v="San Joaquin Valley"/>
    <x v="0"/>
    <n v="67998"/>
    <n v="67998"/>
    <n v="0"/>
    <n v="67928"/>
    <n v="1.28"/>
    <n v="0.13"/>
    <x v="95"/>
    <n v="0.1"/>
    <x v="108"/>
    <x v="19"/>
    <n v="0.5"/>
    <x v="58"/>
  </r>
  <r>
    <n v="2023"/>
    <n v="101504"/>
    <n v="7336"/>
    <s v="J.G.Boswell Company - Kings Tomato"/>
    <x v="0"/>
    <n v="311421"/>
    <s v="Fruit and Vegetable Canning"/>
    <s v="27905 Dairy Avenue, Corcoran, CA 93212"/>
    <s v="Corcoran"/>
    <s v="California"/>
    <n v="93212"/>
    <n v="36.090000000000003"/>
    <n v="-119.553"/>
    <s v="CA06031001300"/>
    <s v="Kings"/>
    <s v="San Joaquin Valley APCD"/>
    <s v="San Joaquin Valley"/>
    <x v="0"/>
    <n v="26437"/>
    <n v="26437"/>
    <n v="0"/>
    <n v="26410"/>
    <n v="0.5"/>
    <n v="0.05"/>
    <x v="96"/>
    <n v="1.3"/>
    <x v="13"/>
    <x v="27"/>
    <n v="2.2999999999999998"/>
    <x v="51"/>
  </r>
  <r>
    <n v="2023"/>
    <n v="101507"/>
    <n v="37"/>
    <s v="Kern Energy (refinery)"/>
    <x v="4"/>
    <n v="324110"/>
    <s v="Petroleum Refineries"/>
    <s v="7724 E. Panama Lane, Bakersfield, CA 93307"/>
    <s v="Bakersfield"/>
    <s v="California"/>
    <n v="93307"/>
    <n v="35.295000000000002"/>
    <n v="-118.917"/>
    <s v="CA06029006201"/>
    <s v="Kern"/>
    <s v="San Joaquin Valley APCD"/>
    <s v="San Joaquin Valley"/>
    <x v="0"/>
    <n v="178767"/>
    <n v="176828"/>
    <n v="1939"/>
    <n v="177840"/>
    <n v="18.18"/>
    <n v="1.59"/>
    <x v="97"/>
    <n v="68.2"/>
    <x v="109"/>
    <x v="43"/>
    <n v="15.2"/>
    <x v="97"/>
  </r>
  <r>
    <n v="2023"/>
    <n v="101509"/>
    <n v="1346"/>
    <s v="California Dairies, Inc. Tipton"/>
    <x v="0"/>
    <n v="311514"/>
    <s v="Dry, Condensed, and Evaporated Dairy Product Manufacturing"/>
    <s v="11894 Avenue 120, Tipton, CA 93272"/>
    <s v="Tipton"/>
    <s v="California"/>
    <n v="93272"/>
    <n v="36.009"/>
    <n v="-119.30500000000001"/>
    <s v="CA06107003200"/>
    <s v="Tulare"/>
    <s v="San Joaquin Valley APCD"/>
    <s v="San Joaquin Valley"/>
    <x v="0"/>
    <n v="48168"/>
    <n v="48168"/>
    <n v="0"/>
    <n v="48119"/>
    <n v="0.91"/>
    <n v="0.09"/>
    <x v="98"/>
    <n v="1.2"/>
    <x v="69"/>
    <x v="20"/>
    <n v="10.4"/>
    <x v="53"/>
  </r>
  <r>
    <n v="2023"/>
    <n v="101511"/>
    <n v="591"/>
    <s v="East Bay Municipal Utility District"/>
    <x v="0"/>
    <n v="221320"/>
    <s v="Sewage Treatment Facilities"/>
    <s v="2020 Wake Ave, Oakland, CA 94607"/>
    <s v="Oakland"/>
    <s v="California"/>
    <n v="94607"/>
    <n v="37.823"/>
    <n v="-122.3"/>
    <s v="CA06001401700"/>
    <s v="Alameda"/>
    <s v="Bay Area AQMD"/>
    <s v="San Francisco Bay Area"/>
    <x v="1"/>
    <n v="34675"/>
    <n v="1300"/>
    <n v="33375"/>
    <n v="34502"/>
    <n v="2.08"/>
    <n v="0.41"/>
    <x v="0"/>
    <n v="25.3"/>
    <x v="110"/>
    <x v="58"/>
    <n v="3.8"/>
    <x v="98"/>
  </r>
  <r>
    <n v="2023"/>
    <n v="101512"/>
    <n v="128"/>
    <s v="Air Products Manufacturing Corporation, Sacramento"/>
    <x v="3"/>
    <n v="325120"/>
    <s v="Industrial Gas Manufacturing"/>
    <s v="5025 83rd Street, Sacramento, CA 95826"/>
    <s v="Sacramento"/>
    <s v="California"/>
    <n v="95826"/>
    <n v="38.529000000000003"/>
    <n v="-121.399"/>
    <s v="CA06067005205"/>
    <s v="Sacramento"/>
    <s v="Sacramento Metropolitan AQMD"/>
    <s v="Sacramento Valley"/>
    <x v="0"/>
    <n v="43567"/>
    <n v="43567"/>
    <n v="0"/>
    <n v="43552"/>
    <n v="0.15"/>
    <n v="0.04"/>
    <x v="99"/>
    <n v="0.7"/>
    <x v="98"/>
    <x v="11"/>
    <n v="1"/>
    <x v="18"/>
  </r>
  <r>
    <n v="2023"/>
    <n v="101513"/>
    <n v="948"/>
    <s v="Vitro Flat Glass LLC"/>
    <x v="0"/>
    <n v="327211"/>
    <s v="Flat Glass Manufacturing"/>
    <s v="3333 South Peach Ave, Fresno, CA 93725"/>
    <s v="Fresno"/>
    <s v="California"/>
    <n v="93725"/>
    <n v="36.686999999999998"/>
    <n v="-119.72"/>
    <s v="CA06019001500"/>
    <s v="Fresno"/>
    <s v="San Joaquin Valley APCD"/>
    <s v="San Joaquin Valley"/>
    <x v="0"/>
    <n v="91894"/>
    <n v="91894"/>
    <n v="0"/>
    <n v="91831"/>
    <n v="1.17"/>
    <n v="0.12"/>
    <x v="100"/>
    <n v="5.3"/>
    <x v="111"/>
    <x v="59"/>
    <n v="35.9"/>
    <x v="99"/>
  </r>
  <r>
    <n v="2023"/>
    <n v="101514"/>
    <n v="88"/>
    <s v="Kern River Cogeneration Facility"/>
    <x v="2"/>
    <n v="221112"/>
    <s v="Fossil Fuel Electric Power Generation"/>
    <s v="SW China Grade Loop, Bakersfield, CA 93308"/>
    <s v="Bakersfield"/>
    <s v="California"/>
    <n v="93308"/>
    <n v="35.451999999999998"/>
    <n v="-118.98399999999999"/>
    <s v="CA06029005103"/>
    <s v="Kern"/>
    <s v="San Joaquin Valley APCD"/>
    <s v="San Joaquin Valley"/>
    <x v="0"/>
    <n v="128288"/>
    <n v="128288"/>
    <n v="0"/>
    <n v="128156"/>
    <n v="2.41"/>
    <n v="0.24"/>
    <x v="101"/>
    <n v="0"/>
    <x v="112"/>
    <x v="21"/>
    <n v="4.5"/>
    <x v="100"/>
  </r>
  <r>
    <n v="2023"/>
    <n v="101518"/>
    <n v="1222"/>
    <s v="Salinas River Cogeneration Facility"/>
    <x v="2"/>
    <n v="221112"/>
    <s v="Fossil Fuel Electric Power Generation"/>
    <s v="Star Route 42, Sargents Canyon Road, San Ardo, CA 93450"/>
    <s v="San Ardo"/>
    <s v="California"/>
    <n v="93450"/>
    <n v="35.953000000000003"/>
    <n v="-120.86799999999999"/>
    <s v="CA06053011400"/>
    <s v="Monterey"/>
    <s v="Monterey Bay ARD"/>
    <s v="North Central Coast"/>
    <x v="0"/>
    <n v="154020"/>
    <n v="154020"/>
    <n v="0"/>
    <n v="153863"/>
    <n v="2.85"/>
    <n v="0.28999999999999998"/>
    <x v="102"/>
    <n v="1.3"/>
    <x v="20"/>
    <x v="8"/>
    <n v="5.4"/>
    <x v="23"/>
  </r>
  <r>
    <n v="2023"/>
    <n v="101519"/>
    <n v="118"/>
    <s v="CP Kelco San Diego"/>
    <x v="0"/>
    <n v="325194"/>
    <s v="Cyclic Crude, Intermediate, and Gum and Wood Chemical Manufacturing"/>
    <s v="2025 East Harbor Drive, San Diego, CA 92113"/>
    <s v="San Diego"/>
    <s v="California"/>
    <n v="92113"/>
    <n v="32.695"/>
    <n v="-117.146"/>
    <s v="CA06073005000"/>
    <s v="San Diego"/>
    <s v="San Diego County APCD"/>
    <s v="San Diego"/>
    <x v="0"/>
    <n v="116403"/>
    <n v="116403"/>
    <n v="0"/>
    <n v="116283"/>
    <n v="2.19"/>
    <n v="0.22"/>
    <x v="103"/>
    <n v="8.9"/>
    <x v="113"/>
    <x v="16"/>
    <n v="7.6"/>
    <x v="14"/>
  </r>
  <r>
    <n v="2023"/>
    <n v="101523"/>
    <n v="5086"/>
    <s v="Qualcomm, Inc. - Pacific Center Facility"/>
    <x v="0"/>
    <n v="541990"/>
    <s v="All Other Professional, Scientific, and Technical Services"/>
    <s v="5751 Pacific Center Blvd., San Diego, CA 92121"/>
    <s v="San Diego"/>
    <s v="California"/>
    <n v="92121"/>
    <n v="32.902999999999999"/>
    <n v="-117.196"/>
    <s v="CA06073008346"/>
    <s v="San Diego"/>
    <s v="San Diego County APCD"/>
    <s v="San Diego"/>
    <x v="0"/>
    <n v="26703"/>
    <n v="26703"/>
    <n v="0"/>
    <n v="26675"/>
    <n v="0.5"/>
    <n v="0.05"/>
    <x v="104"/>
    <n v="0.2"/>
    <x v="114"/>
    <x v="8"/>
    <n v="1.2"/>
    <x v="11"/>
  </r>
  <r>
    <n v="2023"/>
    <n v="101536"/>
    <n v="68"/>
    <s v="Morning Star Packing Company - Williams"/>
    <x v="0"/>
    <n v="311421"/>
    <s v="Fruit and Vegetable Canning"/>
    <s v="2211 Old Hwy 99, Williams, CA 95987"/>
    <s v="Williams"/>
    <s v="California"/>
    <n v="95987"/>
    <n v="39.119999999999997"/>
    <n v="-122"/>
    <s v="CA06011000200"/>
    <s v="Colusa"/>
    <s v="Colusa County APCD"/>
    <s v="Sacramento Valley"/>
    <x v="0"/>
    <n v="144006"/>
    <n v="144006"/>
    <n v="0"/>
    <n v="143857"/>
    <n v="2.71"/>
    <n v="0.27"/>
    <x v="105"/>
    <n v="5.3"/>
    <x v="112"/>
    <x v="16"/>
    <n v="7.3"/>
    <x v="82"/>
  </r>
  <r>
    <n v="2023"/>
    <n v="101562"/>
    <n v="49"/>
    <s v="PG&amp;E Delevan Compressor Station"/>
    <x v="5"/>
    <n v="221210"/>
    <s v="Natural Gas Distribution"/>
    <s v="Dirks Road, No. of Co. Road D, Willows, CA 95979"/>
    <s v="Willows"/>
    <s v="California"/>
    <n v="95979"/>
    <n v="39.365000000000002"/>
    <n v="-122.264"/>
    <s v="CA06011000400"/>
    <s v="Colusa"/>
    <s v="Colusa County APCD"/>
    <s v="Sacramento Valley"/>
    <x v="0"/>
    <n v="33435"/>
    <n v="33435"/>
    <n v="0"/>
    <n v="31604"/>
    <n v="72.540000000000006"/>
    <n v="0.06"/>
    <x v="106"/>
    <n v="0.2"/>
    <x v="115"/>
    <x v="11"/>
    <n v="0.4"/>
    <x v="62"/>
  </r>
  <r>
    <n v="2023"/>
    <n v="101563"/>
    <n v="904"/>
    <s v="PG&amp;E Kettleman Compressor Station"/>
    <x v="5"/>
    <n v="221210"/>
    <s v="Natural Gas Distribution"/>
    <s v="34453 Plymouth Avenue, Avenal, CA 93204"/>
    <s v="Avenal"/>
    <s v="California"/>
    <n v="93204"/>
    <n v="36.073"/>
    <n v="-120.048"/>
    <s v="CA06031001601"/>
    <s v="Kings"/>
    <s v="San Joaquin Valley APCD"/>
    <s v="San Joaquin Valley"/>
    <x v="0"/>
    <n v="39742"/>
    <n v="39742"/>
    <n v="0"/>
    <n v="36273"/>
    <n v="137.91999999999999"/>
    <n v="7.0000000000000007E-2"/>
    <x v="107"/>
    <n v="10.8"/>
    <x v="116"/>
    <x v="21"/>
    <n v="1.7"/>
    <x v="67"/>
  </r>
  <r>
    <n v="2023"/>
    <n v="101564"/>
    <n v="3680"/>
    <s v="City of San Diego, Public Utilities Dept, Point Loma Treatment Plant"/>
    <x v="0"/>
    <n v="221320"/>
    <s v="Sewage Treatment Facilities"/>
    <s v="1902 Gatchell Road, San Diego, CA 92106"/>
    <s v="San Diego"/>
    <s v="California"/>
    <n v="92106"/>
    <n v="32.68"/>
    <n v="-117.247"/>
    <s v="CA06073009901"/>
    <s v="San Diego"/>
    <s v="San Diego County APCD"/>
    <s v="San Diego"/>
    <x v="1"/>
    <n v="21450"/>
    <n v="378"/>
    <n v="21072"/>
    <n v="21342"/>
    <n v="1.3"/>
    <n v="0.26"/>
    <x v="0"/>
    <n v="16.100000000000001"/>
    <x v="117"/>
    <x v="12"/>
    <n v="9.8000000000000007"/>
    <x v="101"/>
  </r>
  <r>
    <n v="2023"/>
    <n v="101574"/>
    <m/>
    <s v="Lockheed Martin Aeronautics Company - Palmdale"/>
    <x v="0"/>
    <n v="336411"/>
    <s v="Aircraft Manufacturing"/>
    <s v="1011 Lockheed Way, Palmdale, CA 93599"/>
    <s v="Palmdale"/>
    <s v="California"/>
    <n v="93599"/>
    <n v="34.613"/>
    <n v="-118.11499999999999"/>
    <s v="CA06037980004"/>
    <s v="Los Angeles"/>
    <s v="Antelope Valley AQMD"/>
    <s v="Mojave Desert"/>
    <x v="1"/>
    <n v="18694"/>
    <n v="18694"/>
    <n v="0"/>
    <n v="18675"/>
    <n v="0.35"/>
    <n v="0.04"/>
    <x v="0"/>
    <n v="0"/>
    <x v="23"/>
    <x v="11"/>
    <n v="0"/>
    <x v="17"/>
  </r>
  <r>
    <n v="2023"/>
    <n v="101575"/>
    <n v="1252"/>
    <s v="Foster Poultry Farms - Livingston Complex, 95334"/>
    <x v="0"/>
    <n v="311615"/>
    <s v="Poultry Processing"/>
    <s v="843 Davis Street, Livingston, CA 95334"/>
    <s v="Livingston"/>
    <s v="California"/>
    <n v="95334"/>
    <n v="37.392000000000003"/>
    <n v="-120.727"/>
    <s v="CA06047000301"/>
    <s v="Merced"/>
    <s v="San Joaquin Valley APCD"/>
    <s v="San Joaquin Valley"/>
    <x v="0"/>
    <n v="52200"/>
    <n v="52200"/>
    <n v="0"/>
    <n v="52146"/>
    <n v="0.98"/>
    <n v="0.1"/>
    <x v="108"/>
    <n v="2.6"/>
    <x v="118"/>
    <x v="60"/>
    <n v="11.2"/>
    <x v="102"/>
  </r>
  <r>
    <n v="2023"/>
    <n v="101582"/>
    <n v="15"/>
    <s v="The P&amp;G Paper Products Co."/>
    <x v="0"/>
    <n v="322121"/>
    <s v="Paper (except Newsprint) Mills"/>
    <s v="800 N. Rice Ave, Oxnard, CA 93030"/>
    <s v="Oxnard"/>
    <s v="California"/>
    <n v="93030"/>
    <n v="34.209000000000003"/>
    <n v="-119.142"/>
    <s v="CA06111004902"/>
    <s v="Ventura"/>
    <s v="Ventura County APCD"/>
    <s v="South Central Coast"/>
    <x v="0"/>
    <n v="276119"/>
    <n v="276119"/>
    <n v="0"/>
    <n v="275834"/>
    <n v="5.2"/>
    <n v="0.52"/>
    <x v="109"/>
    <n v="38.700000000000003"/>
    <x v="119"/>
    <x v="61"/>
    <n v="25.6"/>
    <x v="103"/>
  </r>
  <r>
    <n v="2023"/>
    <n v="101607"/>
    <n v="16151"/>
    <s v="Energy Center San Francisco LLC"/>
    <x v="0"/>
    <n v="221330"/>
    <s v="Steam and Air-Conditioning Supply"/>
    <s v="460 Jessie St., San Francisco, CA 94103"/>
    <s v="San Francisco"/>
    <s v="California"/>
    <n v="94103"/>
    <n v="37.781999999999996"/>
    <n v="-122.40900000000001"/>
    <s v="CA06075017601"/>
    <s v="San Francisco"/>
    <s v="Bay Area AQMD"/>
    <s v="San Francisco Bay Area"/>
    <x v="1"/>
    <n v="59212"/>
    <n v="59212"/>
    <n v="0"/>
    <n v="59151"/>
    <n v="1.1200000000000001"/>
    <n v="0.11"/>
    <x v="0"/>
    <n v="2.2000000000000002"/>
    <x v="120"/>
    <x v="40"/>
    <n v="1.7"/>
    <x v="67"/>
  </r>
  <r>
    <n v="2023"/>
    <n v="101623"/>
    <n v="55"/>
    <s v="Lockheed Martin Corporation - Sunnyvale"/>
    <x v="0"/>
    <n v="336414"/>
    <s v="Guided Missile and Space Vehicle Manufacturing"/>
    <s v="1111 Lockheed Martin Way, Sunnyvale, CA 94089"/>
    <s v="Sunnyvale"/>
    <s v="California"/>
    <n v="94089"/>
    <n v="37.414000000000001"/>
    <n v="-122.032"/>
    <s v="CA06085504602"/>
    <s v="Santa Clara"/>
    <s v="Bay Area AQMD"/>
    <s v="San Francisco Bay Area"/>
    <x v="1"/>
    <n v="17146"/>
    <n v="17146"/>
    <n v="0"/>
    <n v="17128"/>
    <n v="0.32"/>
    <n v="0.03"/>
    <x v="0"/>
    <n v="3.8"/>
    <x v="121"/>
    <x v="8"/>
    <n v="0.7"/>
    <x v="104"/>
  </r>
  <r>
    <n v="2023"/>
    <n v="101674"/>
    <n v="3321"/>
    <s v="Pacific Coast Energy Company LP"/>
    <x v="5"/>
    <n v="211111"/>
    <s v="Crude Petroleum and Natural Gas Extraction"/>
    <s v="1555 Orcutt Hill Road, Orcutt, CA 93455"/>
    <s v="Orcutt"/>
    <s v="California"/>
    <n v="93455"/>
    <n v="34.841000000000001"/>
    <n v="-120.41500000000001"/>
    <s v="CA06083002006"/>
    <s v="Santa Barbara"/>
    <s v="Santa Barbara County APCD"/>
    <s v="South Central Coast"/>
    <x v="0"/>
    <n v="38339"/>
    <n v="38339"/>
    <n v="0"/>
    <n v="37461"/>
    <n v="34.4"/>
    <n v="0.06"/>
    <x v="110"/>
    <n v="39.799999999999997"/>
    <x v="122"/>
    <x v="62"/>
    <n v="1.6"/>
    <x v="96"/>
  </r>
  <r>
    <n v="2023"/>
    <n v="101675"/>
    <n v="1437"/>
    <s v="Southern California Gas Co - Blythe Facility"/>
    <x v="5"/>
    <n v="486210"/>
    <s v="Pipeline Transportation of Natural Gas"/>
    <s v="13100 West 14th Avenue, Blythe, CA 92225"/>
    <s v="Blythe"/>
    <s v="California"/>
    <n v="92225"/>
    <n v="33.606000000000002"/>
    <n v="-114.64400000000001"/>
    <s v="CA06065045900"/>
    <s v="Riverside"/>
    <s v="Mojave Desert AQMD"/>
    <s v="Mojave Desert"/>
    <x v="0"/>
    <n v="42625"/>
    <n v="42625"/>
    <n v="0"/>
    <n v="37957"/>
    <n v="185.9"/>
    <n v="7.0000000000000007E-2"/>
    <x v="111"/>
    <n v="2.8"/>
    <x v="123"/>
    <x v="6"/>
    <n v="6.3"/>
    <x v="105"/>
  </r>
  <r>
    <n v="2023"/>
    <n v="101680"/>
    <n v="188"/>
    <s v="Sierra Pacific Industries (SPI) - Lincoln"/>
    <x v="0"/>
    <n v="321113"/>
    <s v="Sawmills"/>
    <s v="1440 Lincoln Boulevard, Lincoln, CA 95648"/>
    <s v="Lincoln"/>
    <s v="California"/>
    <n v="95648"/>
    <n v="38.904000000000003"/>
    <n v="-121.31100000000001"/>
    <s v="CA06061023400"/>
    <s v="Placer"/>
    <s v="Placer County APCD"/>
    <s v="Sacramento Valley"/>
    <x v="1"/>
    <n v="221174"/>
    <n v="5081"/>
    <n v="216093"/>
    <n v="216822"/>
    <n v="67.88"/>
    <n v="8.91"/>
    <x v="0"/>
    <n v="1.4"/>
    <x v="124"/>
    <x v="17"/>
    <n v="4.5"/>
    <x v="65"/>
  </r>
  <r>
    <n v="2023"/>
    <n v="101681"/>
    <n v="39"/>
    <s v="Sierra Pacific Industries (SPI) - Shasta Lake"/>
    <x v="0"/>
    <n v="321113"/>
    <s v="Sawmills"/>
    <s v="3735 El Cajon Avenue, Shasta Lake, CA 96019"/>
    <s v="Shasta Lake"/>
    <s v="California"/>
    <n v="96019"/>
    <n v="40.674999999999997"/>
    <n v="-122.38"/>
    <s v="CA06089011702"/>
    <s v="Shasta"/>
    <s v="Shasta County AQMD"/>
    <s v="Sacramento Valley"/>
    <x v="1"/>
    <n v="45748"/>
    <n v="979"/>
    <n v="44769"/>
    <n v="44769"/>
    <n v="15.27"/>
    <n v="2.0099999999999998"/>
    <x v="0"/>
    <n v="0.3"/>
    <x v="125"/>
    <x v="28"/>
    <n v="70.099999999999994"/>
    <x v="106"/>
  </r>
  <r>
    <n v="2023"/>
    <n v="101682"/>
    <n v="1"/>
    <s v="Sierra Pacific Industries (SPI) - Sonora"/>
    <x v="0"/>
    <n v="321113"/>
    <s v="Sawmills"/>
    <s v="14980 Camage Road, Sonora, CA 95370"/>
    <s v="Sonora"/>
    <s v="California"/>
    <n v="95370"/>
    <n v="37.966000000000001"/>
    <n v="-120.316"/>
    <s v="CA06109004100"/>
    <s v="Tuolumne"/>
    <s v="Tuolumne County APCD"/>
    <s v="Mountain Counties"/>
    <x v="1"/>
    <n v="123804"/>
    <n v="2669"/>
    <n v="121135"/>
    <n v="121135"/>
    <n v="41.63"/>
    <n v="5.46"/>
    <x v="0"/>
    <n v="8.1999999999999993"/>
    <x v="126"/>
    <x v="63"/>
    <n v="16.399999999999999"/>
    <x v="107"/>
  </r>
  <r>
    <n v="2023"/>
    <n v="101685"/>
    <n v="6534"/>
    <s v="Pixley Cogeneration Partners / Calgren Renewable Fuels"/>
    <x v="2"/>
    <n v="221112"/>
    <s v="Fossil Fuel Electric Power Generation"/>
    <s v="11518 Road 120, Pixley, CA 93256"/>
    <s v="Pixley"/>
    <s v="California"/>
    <n v="93256"/>
    <n v="35.994999999999997"/>
    <n v="-119.30200000000001"/>
    <s v="CA06107004200"/>
    <s v="Tulare"/>
    <s v="San Joaquin Valley APCD"/>
    <s v="San Joaquin Valley"/>
    <x v="0"/>
    <n v="127373"/>
    <n v="12389"/>
    <n v="114984"/>
    <n v="127294"/>
    <n v="1.35"/>
    <n v="0.15"/>
    <x v="112"/>
    <n v="1.5"/>
    <x v="127"/>
    <x v="17"/>
    <n v="8.1"/>
    <x v="83"/>
  </r>
  <r>
    <n v="2023"/>
    <n v="101691"/>
    <m/>
    <s v="Smithfield Packaged Meats Corp"/>
    <x v="0"/>
    <n v="311613"/>
    <s v="Rendering and Meat Byproduct Processing"/>
    <s v="3049 E Vernon Ave, Vernon, CA 90058"/>
    <s v="Vernon"/>
    <s v="California"/>
    <n v="90058"/>
    <n v="34.005000000000003"/>
    <n v="-118.21899999999999"/>
    <s v="CA06037532400"/>
    <s v="Los Angeles"/>
    <s v="South Coast AQMD"/>
    <s v="South Coast"/>
    <x v="1"/>
    <n v="2417"/>
    <n v="2417"/>
    <n v="0"/>
    <n v="2414"/>
    <n v="0.05"/>
    <n v="0.01"/>
    <x v="0"/>
    <n v="0"/>
    <x v="23"/>
    <x v="11"/>
    <n v="0"/>
    <x v="17"/>
  </r>
  <r>
    <n v="2023"/>
    <n v="101693"/>
    <n v="416"/>
    <s v="Wm. Bolthouse Farms, Inc."/>
    <x v="0"/>
    <n v="311991"/>
    <s v="Perishable Prepared Food Manufacturing"/>
    <s v="7200 East Brundage Lane, Bakersfield, CA 93307"/>
    <s v="Bakersfield"/>
    <s v="California"/>
    <n v="93307"/>
    <n v="35.354999999999997"/>
    <n v="-118.92400000000001"/>
    <s v="CA06029002301"/>
    <s v="Kern"/>
    <s v="San Joaquin Valley APCD"/>
    <s v="San Joaquin Valley"/>
    <x v="0"/>
    <n v="29361"/>
    <n v="29361"/>
    <n v="0"/>
    <n v="29330"/>
    <n v="0.55000000000000004"/>
    <n v="0.06"/>
    <x v="113"/>
    <n v="1"/>
    <x v="44"/>
    <x v="27"/>
    <n v="5.2"/>
    <x v="108"/>
  </r>
  <r>
    <n v="2023"/>
    <n v="101696"/>
    <n v="195"/>
    <s v="Avenal State Prison"/>
    <x v="0"/>
    <n v="922140"/>
    <s v="Correctional Institutions"/>
    <s v="#1 Kings Way, Avenal, CA 93204"/>
    <s v="Avenal"/>
    <s v="California"/>
    <n v="93204"/>
    <n v="35.970999999999997"/>
    <n v="-120.121"/>
    <s v="CA06031981800"/>
    <s v="Kings"/>
    <s v="San Joaquin Valley APCD"/>
    <s v="San Joaquin Valley"/>
    <x v="1"/>
    <n v="10043"/>
    <n v="10043"/>
    <n v="0"/>
    <n v="10033"/>
    <n v="0.19"/>
    <n v="0.02"/>
    <x v="0"/>
    <n v="0.2"/>
    <x v="128"/>
    <x v="8"/>
    <n v="0.4"/>
    <x v="62"/>
  </r>
  <r>
    <n v="2023"/>
    <n v="101697"/>
    <n v="12428"/>
    <s v="Gold Bond Building Products, LLC - Long Beach"/>
    <x v="0"/>
    <n v="327420"/>
    <s v="Gypsum Product Manufacturing"/>
    <s v="1850 Pier B Street, Long Beach, CA 90813"/>
    <s v="Long Beach"/>
    <s v="California"/>
    <n v="90813"/>
    <n v="33.78"/>
    <n v="-118.218"/>
    <s v="CA06037980033"/>
    <s v="Los Angeles"/>
    <s v="South Coast AQMD"/>
    <s v="South Coast"/>
    <x v="0"/>
    <n v="37901"/>
    <n v="37901"/>
    <n v="0"/>
    <n v="37862"/>
    <n v="0.71"/>
    <n v="7.0000000000000007E-2"/>
    <x v="114"/>
    <n v="3.7"/>
    <x v="129"/>
    <x v="21"/>
    <n v="24.9"/>
    <x v="107"/>
  </r>
  <r>
    <n v="2023"/>
    <n v="101700"/>
    <n v="173"/>
    <s v="Georgia-Pacific Gypsum LLC - Antioch"/>
    <x v="0"/>
    <n v="327420"/>
    <s v="Gypsum Product Manufacturing"/>
    <s v="801 Minaker Drive, Antioch, CA 94509"/>
    <s v="Antioch"/>
    <s v="California"/>
    <n v="94509"/>
    <n v="38.012999999999998"/>
    <n v="-121.79"/>
    <s v="CA06013306002"/>
    <s v="Contra Costa"/>
    <s v="Bay Area AQMD"/>
    <s v="San Francisco Bay Area"/>
    <x v="0"/>
    <n v="36551"/>
    <n v="36551"/>
    <n v="0"/>
    <n v="36514"/>
    <n v="0.69"/>
    <n v="7.0000000000000007E-2"/>
    <x v="115"/>
    <n v="2"/>
    <x v="130"/>
    <x v="21"/>
    <n v="40.1"/>
    <x v="109"/>
  </r>
  <r>
    <n v="2023"/>
    <n v="101701"/>
    <n v="148236"/>
    <s v="Air Liquide El Segundo Hydrogen Plant"/>
    <x v="3"/>
    <n v="325120"/>
    <s v="Industrial Gas Manufacturing"/>
    <s v="324 W El Segundo Blvd, El Segundo, CA 90245"/>
    <s v="El Segundo"/>
    <s v="California"/>
    <n v="90245"/>
    <n v="33.915999999999997"/>
    <n v="-118.419"/>
    <s v="CA06037620102"/>
    <s v="Los Angeles"/>
    <s v="South Coast AQMD"/>
    <s v="South Coast"/>
    <x v="0"/>
    <n v="617079"/>
    <n v="617079"/>
    <n v="0"/>
    <n v="616672"/>
    <n v="5.46"/>
    <n v="0.91"/>
    <x v="116"/>
    <n v="15.4"/>
    <x v="131"/>
    <x v="27"/>
    <n v="7.3"/>
    <x v="76"/>
  </r>
  <r>
    <n v="2023"/>
    <n v="101702"/>
    <n v="29"/>
    <s v="Roseburg Forest Products"/>
    <x v="0"/>
    <n v="321212"/>
    <s v="Softwood Veneer and Plywood Manufacturing"/>
    <s v="98 Mill St., Weed, CA 96094"/>
    <s v="Weed"/>
    <s v="California"/>
    <n v="96094"/>
    <n v="41.435000000000002"/>
    <n v="-122.378"/>
    <s v="CA06093000900"/>
    <s v="Siskiyou"/>
    <s v="Siskiyou County APCD"/>
    <s v="Northeast Plateau"/>
    <x v="1"/>
    <n v="128875"/>
    <n v="3112"/>
    <n v="125762"/>
    <n v="126123"/>
    <n v="42.92"/>
    <n v="5.64"/>
    <x v="0"/>
    <n v="40.6"/>
    <x v="132"/>
    <x v="64"/>
    <n v="68.3"/>
    <x v="110"/>
  </r>
  <r>
    <n v="2023"/>
    <n v="101703"/>
    <n v="39"/>
    <s v="Midstream Energy Partners, USA, LLC"/>
    <x v="5"/>
    <n v="211112"/>
    <s v="Natural Gas Liquid Extraction"/>
    <s v="9224 Tupman Road, Tupman, CA 93276"/>
    <s v="Tupman"/>
    <s v="California"/>
    <n v="93276"/>
    <n v="35.200000000000003"/>
    <n v="-119.2"/>
    <s v="CA06029003204"/>
    <s v="Kern"/>
    <s v="San Joaquin Valley APCD"/>
    <s v="San Joaquin Valley"/>
    <x v="0"/>
    <n v="31064"/>
    <n v="31064"/>
    <n v="0"/>
    <n v="30819"/>
    <n v="8.82"/>
    <n v="0.08"/>
    <x v="117"/>
    <n v="0.2"/>
    <x v="44"/>
    <x v="45"/>
    <n v="3.1"/>
    <x v="40"/>
  </r>
  <r>
    <n v="2023"/>
    <n v="101705"/>
    <n v="3550"/>
    <s v="J. G. Boswell Company - Kern Tomato"/>
    <x v="0"/>
    <n v="311421"/>
    <s v="Fruit and Vegetable Canning"/>
    <s v="36889 Highway 58, Buttonwillow, CA 93206"/>
    <s v="Buttonwillow"/>
    <s v="California"/>
    <n v="93206"/>
    <n v="35.396000000000001"/>
    <n v="-119.41"/>
    <s v="CA06029003700"/>
    <s v="Kern"/>
    <s v="San Joaquin Valley APCD"/>
    <s v="San Joaquin Valley"/>
    <x v="0"/>
    <n v="43938"/>
    <n v="43938"/>
    <n v="0"/>
    <n v="43893"/>
    <n v="0.83"/>
    <n v="0.08"/>
    <x v="118"/>
    <n v="2.2999999999999998"/>
    <x v="19"/>
    <x v="28"/>
    <n v="3.9"/>
    <x v="15"/>
  </r>
  <r>
    <n v="2023"/>
    <n v="101708"/>
    <n v="255"/>
    <s v="Lawrence Livermore National Laboratory (LLNL)"/>
    <x v="0"/>
    <n v="541712"/>
    <s v="Reseach and Development in the Physical, Engineering, and Life Sciences (except Biotechnology)"/>
    <s v="L-627, 7000 East Avenue, Livermore, CA 94550"/>
    <s v="Livermore"/>
    <s v="California"/>
    <n v="94550"/>
    <n v="37.68"/>
    <n v="-121.699"/>
    <s v="CA06001451101"/>
    <s v="Alameda"/>
    <s v="Bay Area AQMD"/>
    <s v="San Francisco Bay Area"/>
    <x v="1"/>
    <n v="23563"/>
    <n v="23563"/>
    <n v="0"/>
    <n v="23539"/>
    <n v="0.44"/>
    <n v="0.04"/>
    <x v="0"/>
    <n v="7"/>
    <x v="133"/>
    <x v="21"/>
    <n v="2.2999999999999998"/>
    <x v="111"/>
  </r>
  <r>
    <n v="2023"/>
    <n v="101709"/>
    <n v="800037"/>
    <s v="DeMenno/Kerdoon"/>
    <x v="0"/>
    <n v="324199"/>
    <s v="All Other Petroleum and Coal Products Manufacturing"/>
    <s v="2000 North Alameda Street, Compton, CA 90222"/>
    <s v="Compton"/>
    <s v="California"/>
    <n v="90222"/>
    <n v="33.909999999999997"/>
    <n v="-118.221"/>
    <s v="CA06037541603"/>
    <s v="Los Angeles"/>
    <s v="South Coast AQMD"/>
    <s v="South Coast"/>
    <x v="0"/>
    <n v="24737"/>
    <n v="24737"/>
    <n v="0"/>
    <n v="24711"/>
    <n v="0.47"/>
    <n v="0.05"/>
    <x v="119"/>
    <n v="4.7"/>
    <x v="134"/>
    <x v="21"/>
    <n v="2.2999999999999998"/>
    <x v="112"/>
  </r>
  <r>
    <n v="2023"/>
    <n v="101715"/>
    <n v="36"/>
    <s v="Arcosa LWFP LLC"/>
    <x v="0"/>
    <n v="327123"/>
    <s v="Other Structural Clay Product Manufacturing"/>
    <s v="17410 Lockwood Valley Road, Frazier Park, CA 93225"/>
    <s v="Frazier Park"/>
    <s v="California"/>
    <n v="93225"/>
    <n v="34.767000000000003"/>
    <n v="-119.045"/>
    <s v="CA06111000100"/>
    <s v="Ventura"/>
    <s v="Ventura County APCD"/>
    <s v="South Central Coast"/>
    <x v="0"/>
    <n v="19033"/>
    <n v="18980"/>
    <n v="53"/>
    <n v="19013"/>
    <n v="0.35"/>
    <n v="0.04"/>
    <x v="120"/>
    <n v="0"/>
    <x v="135"/>
    <x v="65"/>
    <n v="10.9"/>
    <x v="113"/>
  </r>
  <r>
    <n v="2023"/>
    <n v="101716"/>
    <n v="3955"/>
    <s v="Leprino Foods - Lemoore West"/>
    <x v="0"/>
    <n v="311513"/>
    <s v="Cheese Manufacturing"/>
    <s v="351 North Belle Haven Drive, Lemoore, CA 93245"/>
    <s v="Lemoore"/>
    <s v="California"/>
    <n v="93245"/>
    <n v="36.301000000000002"/>
    <n v="-119.81699999999999"/>
    <s v="CA06031000402"/>
    <s v="Kings"/>
    <s v="San Joaquin Valley APCD"/>
    <s v="San Joaquin Valley"/>
    <x v="0"/>
    <n v="51566"/>
    <n v="51566"/>
    <n v="0"/>
    <n v="51512"/>
    <n v="0.97"/>
    <n v="0.1"/>
    <x v="121"/>
    <n v="2.4"/>
    <x v="136"/>
    <x v="66"/>
    <n v="18.899999999999999"/>
    <x v="56"/>
  </r>
  <r>
    <n v="2023"/>
    <n v="101721"/>
    <n v="598"/>
    <s v="Guardian Industries, LLC"/>
    <x v="0"/>
    <n v="327211"/>
    <s v="Flat Glass Manufacturing"/>
    <s v="11535 East Mountain View Ave., Kingsburg, CA 93631"/>
    <s v="Kingsburg"/>
    <s v="California"/>
    <n v="93631"/>
    <n v="36.542000000000002"/>
    <n v="-119.581"/>
    <s v="CA06019007004"/>
    <s v="Fresno"/>
    <s v="San Joaquin Valley APCD"/>
    <s v="San Joaquin Valley"/>
    <x v="0"/>
    <n v="98600"/>
    <n v="98600"/>
    <n v="0"/>
    <n v="98524"/>
    <n v="1.38"/>
    <n v="0.14000000000000001"/>
    <x v="122"/>
    <n v="21.8"/>
    <x v="137"/>
    <x v="67"/>
    <n v="25.9"/>
    <x v="114"/>
  </r>
  <r>
    <n v="2023"/>
    <n v="101733"/>
    <m/>
    <s v="Corteva agriscience - Pittsburg Operations"/>
    <x v="0"/>
    <n v="325199"/>
    <s v="All Other Basic Organic Chemical Manufacturing"/>
    <s v="901 Loveridge Road, Pittsburg, CA 94565"/>
    <s v="Pittsburg"/>
    <s v="California"/>
    <n v="94565"/>
    <n v="38.023000000000003"/>
    <n v="-121.85599999999999"/>
    <s v="CA06013305000"/>
    <s v="Contra Costa"/>
    <s v="Bay Area AQMD"/>
    <s v="San Francisco Bay Area"/>
    <x v="0"/>
    <n v="26201"/>
    <n v="26201"/>
    <n v="0"/>
    <n v="26174"/>
    <n v="0.49"/>
    <n v="0.05"/>
    <x v="123"/>
    <n v="0"/>
    <x v="23"/>
    <x v="11"/>
    <n v="0"/>
    <x v="17"/>
  </r>
  <r>
    <n v="2023"/>
    <n v="101734"/>
    <n v="22911"/>
    <s v="Carlton Forge Works"/>
    <x v="0"/>
    <n v="332112"/>
    <s v="Nonferrous Forging"/>
    <s v="7743 E. Adams St., Paramount, CA 90723"/>
    <s v="Paramount"/>
    <s v="California"/>
    <n v="90723"/>
    <n v="33.895000000000003"/>
    <n v="-118.164"/>
    <s v="CA06037553801"/>
    <s v="Los Angeles"/>
    <s v="South Coast AQMD"/>
    <s v="South Coast"/>
    <x v="0"/>
    <n v="31090"/>
    <n v="31090"/>
    <n v="0"/>
    <n v="31058"/>
    <n v="0.59"/>
    <n v="0.06"/>
    <x v="124"/>
    <n v="8"/>
    <x v="138"/>
    <x v="21"/>
    <n v="2.8"/>
    <x v="115"/>
  </r>
  <r>
    <n v="2023"/>
    <n v="101736"/>
    <n v="377"/>
    <s v="WP&amp;A Lost Hills"/>
    <x v="0"/>
    <n v="311911"/>
    <s v="Roasted Nuts and Peanut Butter Manufacturing"/>
    <s v="13646 Highway 33, Lost Hills, CA 93249"/>
    <s v="Lost Hills"/>
    <s v="California"/>
    <n v="93249"/>
    <n v="35.652999999999999"/>
    <n v="-119.89100000000001"/>
    <s v="CA06029004500"/>
    <s v="Kern"/>
    <s v="San Joaquin Valley APCD"/>
    <s v="San Joaquin Valley"/>
    <x v="0"/>
    <n v="62984"/>
    <n v="62984"/>
    <n v="0"/>
    <n v="62920"/>
    <n v="1.1499999999999999"/>
    <n v="0.12"/>
    <x v="125"/>
    <n v="2.5"/>
    <x v="139"/>
    <x v="45"/>
    <n v="19.7"/>
    <x v="72"/>
  </r>
  <r>
    <n v="2023"/>
    <n v="101745"/>
    <n v="11218"/>
    <s v="Orange County Central Utility Facility"/>
    <x v="2"/>
    <n v="921190"/>
    <s v="Other General Government Support"/>
    <s v="525 N. Flower Street, Santa Ana, CA 92703"/>
    <s v="Santa Ana"/>
    <s v="California"/>
    <n v="92703"/>
    <n v="33.75"/>
    <n v="-117.876"/>
    <s v="CA06059075002"/>
    <s v="Orange"/>
    <s v="South Coast AQMD"/>
    <s v="South Coast"/>
    <x v="1"/>
    <n v="30407"/>
    <n v="30407"/>
    <n v="0"/>
    <n v="30376"/>
    <n v="0.56999999999999995"/>
    <n v="0.06"/>
    <x v="0"/>
    <n v="0.7"/>
    <x v="44"/>
    <x v="21"/>
    <n v="1.1000000000000001"/>
    <x v="18"/>
  </r>
  <r>
    <n v="2023"/>
    <n v="101747"/>
    <n v="39"/>
    <s v="PG&amp;E Gerber Compressor Station"/>
    <x v="5"/>
    <n v="221210"/>
    <s v="Natural Gas Distribution"/>
    <s v="I-5 and Chard Avenue, Gerber, CA 96035"/>
    <s v="Gerber"/>
    <s v="California"/>
    <n v="96035"/>
    <n v="40.063000000000002"/>
    <n v="-122.215"/>
    <s v="CA06103000800"/>
    <s v="Tehama"/>
    <s v="Tehama County APCD"/>
    <s v="Sacramento Valley"/>
    <x v="0"/>
    <n v="62412"/>
    <n v="62412"/>
    <n v="0"/>
    <n v="60104"/>
    <n v="90.96"/>
    <n v="0.11"/>
    <x v="126"/>
    <n v="0.5"/>
    <x v="140"/>
    <x v="11"/>
    <n v="1.2"/>
    <x v="60"/>
  </r>
  <r>
    <n v="2023"/>
    <n v="101749"/>
    <n v="17419"/>
    <s v="Air Liquide Large Industries US L.P. - Rodeo Hydrogen Plant"/>
    <x v="3"/>
    <n v="325120"/>
    <s v="Industrial Gas Manufacturing"/>
    <s v="1391 San Pablo Avenue, Rodeo, CA 94572"/>
    <s v="Rodeo"/>
    <s v="California"/>
    <n v="94572"/>
    <n v="38.048000000000002"/>
    <n v="-122.256"/>
    <s v="CA06013358000"/>
    <s v="Contra Costa"/>
    <s v="Bay Area AQMD"/>
    <s v="San Francisco Bay Area"/>
    <x v="0"/>
    <n v="821228"/>
    <n v="808367"/>
    <n v="12861"/>
    <n v="820534"/>
    <n v="8.25"/>
    <n v="1.64"/>
    <x v="127"/>
    <n v="0.9"/>
    <x v="16"/>
    <x v="68"/>
    <n v="8.5"/>
    <x v="116"/>
  </r>
  <r>
    <n v="2023"/>
    <n v="103016"/>
    <n v="43"/>
    <s v="Sentinel Peak Resources- AG Facility"/>
    <x v="5"/>
    <n v="211111"/>
    <s v="Crude Petroleum and Natural Gas Extraction"/>
    <s v="1821 Price Canyon Rd., San Luis Obispo, CA 93401"/>
    <s v="San Luis Obispo"/>
    <s v="California"/>
    <n v="93401"/>
    <n v="35.177"/>
    <n v="-120.624"/>
    <s v="CA06079011600"/>
    <s v="San Luis Obispo"/>
    <s v="San Luis Obispo County APCD"/>
    <s v="South Central Coast"/>
    <x v="0"/>
    <n v="103485"/>
    <n v="91676"/>
    <n v="11808"/>
    <n v="102415"/>
    <n v="39.58"/>
    <n v="0.27"/>
    <x v="128"/>
    <n v="11.1"/>
    <x v="141"/>
    <x v="69"/>
    <n v="4"/>
    <x v="42"/>
  </r>
  <r>
    <n v="2023"/>
    <n v="103018"/>
    <n v="1662"/>
    <s v="Gallo Glass Company"/>
    <x v="0"/>
    <n v="327213"/>
    <s v="Glass Container Manufacturing"/>
    <s v="605 S. Santa Cruz Drive, Modesto, CA 95354"/>
    <s v="Modesto"/>
    <s v="California"/>
    <n v="95354"/>
    <n v="37.628999999999998"/>
    <n v="-120.979"/>
    <s v="CA06099002100"/>
    <s v="Stanislaus"/>
    <s v="San Joaquin Valley APCD"/>
    <s v="San Joaquin Valley"/>
    <x v="0"/>
    <n v="172184"/>
    <n v="172184"/>
    <n v="0"/>
    <n v="172063"/>
    <n v="2.21"/>
    <n v="0.22"/>
    <x v="129"/>
    <n v="1.3"/>
    <x v="142"/>
    <x v="70"/>
    <n v="29"/>
    <x v="117"/>
  </r>
  <r>
    <n v="2023"/>
    <n v="104004"/>
    <n v="705"/>
    <s v="JR Simplot Company"/>
    <x v="0"/>
    <n v="325311"/>
    <s v="Nitrogenous Fertilizer Manufacturing"/>
    <s v="12688 S. Colorado Avenue, Helm, CA 93627"/>
    <s v="Helm"/>
    <s v="California"/>
    <n v="93627"/>
    <n v="36.542000000000002"/>
    <n v="-120.104"/>
    <s v="CA06019008200"/>
    <s v="Fresno"/>
    <s v="San Joaquin Valley APCD"/>
    <s v="San Joaquin Valley"/>
    <x v="1"/>
    <n v="10001"/>
    <n v="10001"/>
    <n v="0"/>
    <n v="6554"/>
    <n v="0.3"/>
    <n v="11.54"/>
    <x v="0"/>
    <n v="124.8"/>
    <x v="143"/>
    <x v="21"/>
    <n v="6"/>
    <x v="118"/>
  </r>
  <r>
    <n v="2023"/>
    <n v="104005"/>
    <n v="44"/>
    <s v="Tricor Refining, LLC"/>
    <x v="4"/>
    <n v="324110"/>
    <s v="Petroleum Refineries"/>
    <s v="1134 Manor Street, Bakersfield, CA 93308"/>
    <s v="Bakersfield"/>
    <s v="California"/>
    <n v="93308"/>
    <n v="35.418999999999997"/>
    <n v="-119.01"/>
    <s v="CA06029005103"/>
    <s v="Kern"/>
    <s v="San Joaquin Valley APCD"/>
    <s v="San Joaquin Valley"/>
    <x v="0"/>
    <n v="35070"/>
    <n v="35070"/>
    <n v="0"/>
    <n v="34741"/>
    <n v="12.49"/>
    <n v="0.06"/>
    <x v="130"/>
    <n v="7.5"/>
    <x v="144"/>
    <x v="21"/>
    <n v="1.1000000000000001"/>
    <x v="60"/>
  </r>
  <r>
    <n v="2023"/>
    <n v="104009"/>
    <n v="11"/>
    <s v="High Sierra Cogeneration"/>
    <x v="2"/>
    <n v="221112"/>
    <s v="Fossil Fuel Electric Power Generation"/>
    <s v="711-045 Center Rd., Susanville, CA 96130"/>
    <s v="Susanville"/>
    <s v="California"/>
    <n v="96130"/>
    <n v="40.404000000000003"/>
    <n v="-120.482"/>
    <s v="CA06035040400"/>
    <s v="Lassen"/>
    <s v="Lassen County APCD"/>
    <s v="Northeast Plateau"/>
    <x v="1"/>
    <n v="18732"/>
    <n v="18732"/>
    <n v="0"/>
    <n v="18712"/>
    <n v="0.35"/>
    <n v="0.04"/>
    <x v="0"/>
    <n v="0.8"/>
    <x v="145"/>
    <x v="71"/>
    <n v="8.6999999999999993"/>
    <x v="14"/>
  </r>
  <r>
    <n v="2023"/>
    <n v="104011"/>
    <n v="272"/>
    <s v="Chevron AAPG 740 Coastal Basin"/>
    <x v="5"/>
    <n v="211111"/>
    <s v="Crude Petroleum and Natural Gas Extraction"/>
    <s v="6001 Bollinger Canyon Rd., San Ramon, CA 94583"/>
    <s v="San Ramon"/>
    <s v="California"/>
    <n v="94583"/>
    <n v="35.951999999999998"/>
    <n v="-120.861"/>
    <s v="CA06053011400"/>
    <s v="Monterey"/>
    <s v="Monterey Bay ARD"/>
    <s v="North Central Coast"/>
    <x v="0"/>
    <n v="104388"/>
    <n v="104388"/>
    <n v="0"/>
    <n v="103806"/>
    <n v="20.99"/>
    <n v="0.19"/>
    <x v="131"/>
    <n v="6.8"/>
    <x v="146"/>
    <x v="40"/>
    <n v="2.9"/>
    <x v="87"/>
  </r>
  <r>
    <n v="2023"/>
    <n v="104012"/>
    <n v="8084"/>
    <s v="Chevron AAPG 745 San Joaquin Basin"/>
    <x v="5"/>
    <n v="211111"/>
    <s v="Crude Petroleum and Natural Gas Extraction"/>
    <s v="6001 Bollinger Canyon Rd., San Ramon, CA 94583"/>
    <s v="San Ramon"/>
    <s v="California"/>
    <n v="94583"/>
    <n v="35.454999999999998"/>
    <n v="-119.002"/>
    <s v="CA06029005103"/>
    <s v="Kern"/>
    <s v="San Joaquin Valley APCD"/>
    <s v="San Joaquin Valley"/>
    <x v="0"/>
    <n v="1354693"/>
    <n v="1354693"/>
    <n v="0"/>
    <n v="1341589"/>
    <n v="494.85"/>
    <n v="2.46"/>
    <x v="132"/>
    <n v="50.6"/>
    <x v="147"/>
    <x v="72"/>
    <n v="42.3"/>
    <x v="119"/>
  </r>
  <r>
    <n v="2023"/>
    <n v="104014"/>
    <n v="2234"/>
    <s v="California Resources Elk Hills, LLC - 35R Gas Plant"/>
    <x v="5"/>
    <n v="211111"/>
    <s v="Crude Petroleum and Natural Gas Extraction"/>
    <s v="28590 Highway 119, Tupman, CA 93276"/>
    <s v="Tupman"/>
    <s v="California"/>
    <n v="93276"/>
    <n v="35.241"/>
    <n v="-119.361"/>
    <s v="CA06029003304"/>
    <s v="Kern"/>
    <s v="San Joaquin Valley APCD"/>
    <s v="San Joaquin Valley"/>
    <x v="0"/>
    <n v="1697383"/>
    <n v="1697383"/>
    <n v="0"/>
    <n v="1692236"/>
    <n v="171.47"/>
    <n v="2.89"/>
    <x v="133"/>
    <n v="7.2"/>
    <x v="131"/>
    <x v="6"/>
    <n v="1.1000000000000001"/>
    <x v="60"/>
  </r>
  <r>
    <n v="2023"/>
    <n v="104016"/>
    <n v="1135"/>
    <s v="Aera Energy San Joaquin Basin"/>
    <x v="5"/>
    <n v="211111"/>
    <s v="Crude Petroleum and Natural Gas Extraction"/>
    <s v="10000 Ming Avenue, Bakersfield, CA 93311"/>
    <s v="Bakersfield"/>
    <s v="California"/>
    <n v="93311"/>
    <n v="35.341000000000001"/>
    <n v="-119.113"/>
    <s v="CA06029002806"/>
    <s v="Kern"/>
    <s v="San Joaquin Valley APCD"/>
    <s v="San Joaquin Valley"/>
    <x v="0"/>
    <n v="2481467"/>
    <n v="2481467"/>
    <n v="0"/>
    <n v="2469560"/>
    <n v="425.93"/>
    <n v="4.2300000000000004"/>
    <x v="134"/>
    <n v="53.5"/>
    <x v="148"/>
    <x v="73"/>
    <n v="43.2"/>
    <x v="120"/>
  </r>
  <r>
    <n v="2023"/>
    <n v="104017"/>
    <n v="41"/>
    <s v="Aera Energy Ventura Basin"/>
    <x v="5"/>
    <n v="211111"/>
    <s v="Crude Petroleum and Natural Gas Extraction"/>
    <s v="3382 N Ventura Ave, Ventura, CA 93301"/>
    <s v="Ventura"/>
    <s v="California"/>
    <n v="93301"/>
    <n v="34.314"/>
    <n v="-119.289"/>
    <s v="CA06111002300"/>
    <s v="Ventura"/>
    <s v="Ventura County APCD"/>
    <s v="South Central Coast"/>
    <x v="0"/>
    <n v="25576"/>
    <n v="25576"/>
    <n v="0"/>
    <n v="21198"/>
    <n v="174.54"/>
    <n v="0.05"/>
    <x v="135"/>
    <n v="32.200000000000003"/>
    <x v="149"/>
    <x v="74"/>
    <n v="1.1000000000000001"/>
    <x v="18"/>
  </r>
  <r>
    <n v="2023"/>
    <n v="104018"/>
    <n v="23"/>
    <s v="Aera Energy Coastal Basins"/>
    <x v="5"/>
    <n v="211111"/>
    <s v="Crude Petroleum and Natural Gas Extraction"/>
    <s v="66893 Sargent Road, San Ardo, CA 93450"/>
    <s v="San Ardo"/>
    <s v="California"/>
    <n v="93450"/>
    <n v="35.984000000000002"/>
    <n v="-120.79300000000001"/>
    <s v="CA06053011400"/>
    <s v="Monterey"/>
    <s v="Monterey Bay ARD"/>
    <s v="North Central Coast"/>
    <x v="0"/>
    <n v="298138"/>
    <n v="298138"/>
    <n v="0"/>
    <n v="297335"/>
    <n v="25.47"/>
    <n v="0.56000000000000005"/>
    <x v="136"/>
    <n v="1.2"/>
    <x v="80"/>
    <x v="45"/>
    <n v="39.6"/>
    <x v="121"/>
  </r>
  <r>
    <n v="2023"/>
    <n v="104021"/>
    <n v="608"/>
    <s v="PG&amp;E McDonald Island Underground Storage Station"/>
    <x v="5"/>
    <n v="221210"/>
    <s v="Natural Gas Distribution"/>
    <s v="2121 N. Zuckerman Road, Stockton, CA 95206"/>
    <s v="Stockton"/>
    <s v="California"/>
    <n v="95206"/>
    <n v="37.99"/>
    <n v="-121.47799999999999"/>
    <s v="CA06077003900"/>
    <s v="San Joaquin"/>
    <s v="San Joaquin Valley APCD"/>
    <s v="San Joaquin Valley"/>
    <x v="1"/>
    <n v="16201"/>
    <n v="16201"/>
    <n v="0"/>
    <n v="10663"/>
    <n v="221.02"/>
    <n v="0.04"/>
    <x v="0"/>
    <n v="0.1"/>
    <x v="150"/>
    <x v="21"/>
    <n v="0.4"/>
    <x v="62"/>
  </r>
  <r>
    <n v="2023"/>
    <n v="104022"/>
    <n v="164"/>
    <s v="PG&amp;E Burney Compressor Station"/>
    <x v="5"/>
    <n v="221210"/>
    <s v="Natural Gas Distribution"/>
    <s v="37667 East Highway 299, Burney, CA 96013"/>
    <s v="Burney"/>
    <s v="California"/>
    <n v="96013"/>
    <n v="40.896999999999998"/>
    <n v="-121.63500000000001"/>
    <s v="CA06089012701"/>
    <s v="Shasta"/>
    <s v="Shasta County AQMD"/>
    <s v="Sacramento Valley"/>
    <x v="0"/>
    <n v="59842"/>
    <n v="59842"/>
    <n v="0"/>
    <n v="58488"/>
    <n v="52.84"/>
    <n v="0.11"/>
    <x v="137"/>
    <n v="3.5"/>
    <x v="151"/>
    <x v="5"/>
    <n v="1.6"/>
    <x v="96"/>
  </r>
  <r>
    <n v="2023"/>
    <n v="104023"/>
    <n v="2501"/>
    <s v="PG&amp;E Tionesta Compressor Station"/>
    <x v="5"/>
    <n v="221210"/>
    <s v="Natural Gas Distribution"/>
    <s v="Road 97, 4 Miles West of Highway 139, Tionesta, CA 96015"/>
    <s v="Tionesta"/>
    <s v="California"/>
    <n v="96015"/>
    <n v="41.649000000000001"/>
    <n v="-121.318"/>
    <s v="CA06049000200"/>
    <s v="Modoc"/>
    <s v="Modoc County APCD"/>
    <s v="Northeast Plateau"/>
    <x v="0"/>
    <n v="27713"/>
    <n v="27713"/>
    <n v="0"/>
    <n v="26717"/>
    <n v="39.25"/>
    <n v="0.05"/>
    <x v="138"/>
    <n v="0.1"/>
    <x v="152"/>
    <x v="11"/>
    <n v="0"/>
    <x v="17"/>
  </r>
  <r>
    <n v="2023"/>
    <n v="104029"/>
    <n v="5362"/>
    <s v="California Resources Production Corporation - Sacramento Valley Basin 730"/>
    <x v="5"/>
    <n v="211111"/>
    <s v="Crude Petroleum and Natural Gas Extraction"/>
    <s v="2692 Amerada Road, Rio Vista, CA 94571"/>
    <s v="Rio Vista"/>
    <s v="California"/>
    <n v="94571"/>
    <n v="38.164000000000001"/>
    <n v="-121.73099999999999"/>
    <s v="CA06095253500"/>
    <s v="Solano"/>
    <s v="Yolo-Solano AQMD"/>
    <s v="Sacramento Valley"/>
    <x v="0"/>
    <n v="68479"/>
    <n v="68479"/>
    <n v="0"/>
    <n v="33548"/>
    <n v="1396.48"/>
    <n v="7.0000000000000007E-2"/>
    <x v="139"/>
    <n v="6.9"/>
    <x v="153"/>
    <x v="16"/>
    <n v="1.9"/>
    <x v="122"/>
  </r>
  <r>
    <n v="2023"/>
    <n v="104030"/>
    <n v="8453"/>
    <s v="California Resources Production Corporation - San Joaquin Valley Basin 745"/>
    <x v="5"/>
    <n v="211111"/>
    <s v="Crude Petroleum and Natural Gas Extraction"/>
    <s v="9522 Oilfield Road, Bakersfield, CA 93308"/>
    <s v="Bakersfield"/>
    <s v="California"/>
    <n v="93308"/>
    <n v="35.499000000000002"/>
    <n v="-119.033"/>
    <s v="CA06029005103"/>
    <s v="Kern"/>
    <s v="San Joaquin Valley APCD"/>
    <s v="San Joaquin Valley"/>
    <x v="0"/>
    <n v="626441"/>
    <n v="626441"/>
    <n v="0"/>
    <n v="590762"/>
    <n v="1413.98"/>
    <n v="1.1100000000000001"/>
    <x v="140"/>
    <n v="53.7"/>
    <x v="154"/>
    <x v="35"/>
    <n v="12.4"/>
    <x v="81"/>
  </r>
  <r>
    <n v="2023"/>
    <n v="104033"/>
    <n v="310"/>
    <s v="CALNRG - Ventura Basin 755 incl. SCVGP Gas Plant"/>
    <x v="5"/>
    <n v="211111"/>
    <s v="Crude Petroleum and Natural Gas Extraction"/>
    <s v="3824 Guiberson Raod, Piru, CA 93040"/>
    <s v="Piru"/>
    <s v="California"/>
    <n v="93040"/>
    <n v="34.390999999999998"/>
    <n v="-118.792"/>
    <s v="CA06111000200"/>
    <s v="Ventura"/>
    <s v="Ventura County APCD"/>
    <s v="South Central Coast"/>
    <x v="0"/>
    <n v="22974"/>
    <n v="22974"/>
    <n v="0"/>
    <n v="21320"/>
    <n v="65.739999999999995"/>
    <n v="0.04"/>
    <x v="141"/>
    <n v="2.9"/>
    <x v="26"/>
    <x v="44"/>
    <n v="0.2"/>
    <x v="48"/>
  </r>
  <r>
    <n v="2023"/>
    <n v="104035"/>
    <n v="4835"/>
    <s v="Naval Medical Center - San Diego"/>
    <x v="0"/>
    <n v="928110"/>
    <s v="National Security"/>
    <s v="34800 Bob Wilson Drive, San Diego, CA 92134"/>
    <s v="San Diego"/>
    <s v="California"/>
    <n v="92134"/>
    <n v="32.722000000000001"/>
    <n v="-117.146"/>
    <s v="CA06073005500"/>
    <s v="San Diego"/>
    <s v="San Diego County APCD"/>
    <s v="San Diego"/>
    <x v="1"/>
    <n v="19472"/>
    <n v="19472"/>
    <n v="0"/>
    <n v="19452"/>
    <n v="0.37"/>
    <n v="0.04"/>
    <x v="0"/>
    <n v="0.4"/>
    <x v="121"/>
    <x v="8"/>
    <n v="1.2"/>
    <x v="11"/>
  </r>
  <r>
    <n v="2023"/>
    <n v="104052"/>
    <n v="256"/>
    <s v="Lhoist North America - Natividad Plant"/>
    <x v="0"/>
    <n v="327410"/>
    <s v="Lime Manufacturing"/>
    <s v="11771 Old Stage Road, Salinas, CA 93908"/>
    <s v="Salinas"/>
    <s v="California"/>
    <n v="93908"/>
    <n v="36.747"/>
    <n v="-121.60299999999999"/>
    <s v="CA06053010606"/>
    <s v="Monterey"/>
    <s v="Monterey Bay ARD"/>
    <s v="North Central Coast"/>
    <x v="0"/>
    <n v="2864"/>
    <n v="2864"/>
    <n v="0"/>
    <n v="2863"/>
    <n v="0.03"/>
    <n v="0"/>
    <x v="142"/>
    <n v="1"/>
    <x v="19"/>
    <x v="11"/>
    <n v="71.599999999999994"/>
    <x v="123"/>
  </r>
  <r>
    <n v="2023"/>
    <n v="104068"/>
    <n v="171"/>
    <s v="UC Davis Medical Center"/>
    <x v="0"/>
    <n v="622110"/>
    <s v="General Medical and Surgical Hospitals"/>
    <s v="2315 Stockton Blvd., Sacramento, CA 95817"/>
    <s v="Sacramento"/>
    <s v="California"/>
    <n v="95817"/>
    <n v="38.551000000000002"/>
    <n v="-121.45099999999999"/>
    <s v="CA06067001700"/>
    <s v="Sacramento"/>
    <s v="Sacramento Metropolitan AQMD"/>
    <s v="Sacramento Valley"/>
    <x v="0"/>
    <n v="57917"/>
    <n v="57917"/>
    <n v="0"/>
    <n v="57857"/>
    <n v="1.0900000000000001"/>
    <n v="0.11"/>
    <x v="143"/>
    <n v="162.5"/>
    <x v="52"/>
    <x v="27"/>
    <n v="2.5"/>
    <x v="122"/>
  </r>
  <r>
    <n v="2023"/>
    <n v="104069"/>
    <n v="7748"/>
    <s v="Olam West Coast, Inc. - Firebaugh"/>
    <x v="0"/>
    <n v="311423"/>
    <s v="Dried and Dehydrated Food Manufacturing"/>
    <s v="47461 W. Nees Ave., Firebaugh, CA 93622"/>
    <s v="Firebaugh"/>
    <s v="California"/>
    <n v="93622"/>
    <n v="36.850999999999999"/>
    <n v="-120.61499999999999"/>
    <s v="CA06019008402"/>
    <s v="Fresno"/>
    <s v="San Joaquin Valley APCD"/>
    <s v="San Joaquin Valley"/>
    <x v="0"/>
    <n v="29694"/>
    <n v="29694"/>
    <n v="0"/>
    <n v="29664"/>
    <n v="0.56000000000000005"/>
    <n v="0.06"/>
    <x v="144"/>
    <n v="3.2"/>
    <x v="129"/>
    <x v="27"/>
    <n v="5"/>
    <x v="15"/>
  </r>
  <r>
    <n v="2023"/>
    <n v="104072"/>
    <n v="800325"/>
    <s v="California Resources Production Corporation - 760 Los Angeles Basin"/>
    <x v="5"/>
    <n v="211111"/>
    <s v="Crude Petroleum and Natural Gas Extraction"/>
    <s v="111 W. Ocean Blvd, Long Beach, CA 90802"/>
    <s v="Long Beach"/>
    <s v="California"/>
    <n v="90802"/>
    <n v="33.768000000000001"/>
    <n v="-118.193"/>
    <s v="CA06037576001"/>
    <s v="Los Angeles"/>
    <s v="South Coast AQMD"/>
    <s v="South Coast"/>
    <x v="0"/>
    <n v="212897"/>
    <n v="212897"/>
    <n v="0"/>
    <n v="210716"/>
    <n v="82.82"/>
    <n v="0.37"/>
    <x v="145"/>
    <n v="14.2"/>
    <x v="155"/>
    <x v="8"/>
    <n v="1.6"/>
    <x v="96"/>
  </r>
  <r>
    <n v="2023"/>
    <n v="104075"/>
    <m/>
    <s v="WG Holdings SPV, LLC - Los Angeles Basin Facility"/>
    <x v="5"/>
    <n v="211111"/>
    <s v="Crude Petroleum and Natural Gas Extraction"/>
    <s v="515 South Flower Street 4800, Los Angeles, CA 90071"/>
    <s v="Los Angeles"/>
    <s v="California"/>
    <n v="90071"/>
    <n v="34.051000000000002"/>
    <n v="-118.25700000000001"/>
    <s v="CA06037207710"/>
    <s v="Los Angeles"/>
    <s v="South Coast AQMD"/>
    <s v="South Coast"/>
    <x v="1"/>
    <n v="12793"/>
    <n v="12793"/>
    <n v="0"/>
    <n v="11575"/>
    <n v="48.49"/>
    <n v="0.02"/>
    <x v="0"/>
    <n v="0"/>
    <x v="23"/>
    <x v="11"/>
    <n v="0"/>
    <x v="17"/>
  </r>
  <r>
    <n v="2023"/>
    <n v="104081"/>
    <n v="1372"/>
    <s v="Sentinel Peak Resources - SJV Basin Facility"/>
    <x v="5"/>
    <n v="211111"/>
    <s v="Crude Petroleum and Natural Gas Extraction"/>
    <s v="3252 Crocker Springs Road, Fellows, CA 93224"/>
    <s v="Fellows"/>
    <s v="California"/>
    <n v="93224"/>
    <n v="35.231999999999999"/>
    <n v="-119.624"/>
    <s v="CA06029003304"/>
    <s v="Kern"/>
    <s v="San Joaquin Valley APCD"/>
    <s v="San Joaquin Valley"/>
    <x v="0"/>
    <n v="896435"/>
    <n v="896435"/>
    <n v="0"/>
    <n v="889294"/>
    <n v="266.31"/>
    <n v="1.62"/>
    <x v="146"/>
    <n v="80.2"/>
    <x v="156"/>
    <x v="75"/>
    <n v="54.9"/>
    <x v="124"/>
  </r>
  <r>
    <n v="2023"/>
    <n v="104090"/>
    <n v="45086"/>
    <s v="Signal Hill Petroleum Facilities"/>
    <x v="5"/>
    <n v="211111"/>
    <s v="Crude Petroleum and Natural Gas Extraction"/>
    <s v="1215 East 29th Street, Signal Hill, CA 90755"/>
    <s v="Signal Hill"/>
    <s v="California"/>
    <n v="90755"/>
    <n v="33.811"/>
    <n v="-118.175"/>
    <s v="CA06037573402"/>
    <s v="Los Angeles"/>
    <s v="South Coast AQMD"/>
    <s v="South Coast"/>
    <x v="0"/>
    <n v="43203"/>
    <n v="43203"/>
    <n v="0"/>
    <n v="42944"/>
    <n v="9.43"/>
    <n v="0.08"/>
    <x v="147"/>
    <n v="8.3000000000000007"/>
    <x v="97"/>
    <x v="21"/>
    <n v="1.6"/>
    <x v="96"/>
  </r>
  <r>
    <n v="2023"/>
    <n v="104094"/>
    <n v="2265"/>
    <s v="Berry Petroleum Company - San Joaquin Basin"/>
    <x v="5"/>
    <n v="211111"/>
    <s v="Crude Petroleum and Natural Gas Extraction"/>
    <s v="28700 Hovey Hills Road, Maricopa, CA 93268"/>
    <s v="Maricopa"/>
    <s v="California"/>
    <n v="93268"/>
    <n v="35.098999999999997"/>
    <n v="-119.444"/>
    <s v="CA06029003303"/>
    <s v="Kern"/>
    <s v="San Joaquin Valley APCD"/>
    <s v="San Joaquin Valley"/>
    <x v="0"/>
    <n v="1057961"/>
    <n v="1057961"/>
    <n v="0"/>
    <n v="1055009"/>
    <n v="94.73"/>
    <n v="1.96"/>
    <x v="148"/>
    <n v="14.9"/>
    <x v="157"/>
    <x v="76"/>
    <n v="57.1"/>
    <x v="125"/>
  </r>
  <r>
    <n v="2023"/>
    <n v="104097"/>
    <n v="1121"/>
    <s v="Naftex Operating Company"/>
    <x v="5"/>
    <n v="211111"/>
    <s v="Crude Petroleum and Natural Gas Extraction"/>
    <s v="14333 Breckenridge Rd., Bakersfield, CA 93307"/>
    <s v="Bakersfield"/>
    <s v="California"/>
    <n v="93307"/>
    <n v="35.372999999999998"/>
    <n v="-118.845"/>
    <s v="CA06029001000"/>
    <s v="Kern"/>
    <s v="San Joaquin Valley APCD"/>
    <s v="San Joaquin Valley"/>
    <x v="0"/>
    <n v="25525"/>
    <n v="25525"/>
    <n v="0"/>
    <n v="25478"/>
    <n v="1.31"/>
    <n v="0.05"/>
    <x v="149"/>
    <n v="10.199999999999999"/>
    <x v="158"/>
    <x v="16"/>
    <n v="1.7"/>
    <x v="67"/>
  </r>
  <r>
    <n v="2023"/>
    <n v="104105"/>
    <n v="474"/>
    <s v="Leprino Foods - Tracy"/>
    <x v="0"/>
    <n v="311513"/>
    <s v="Cheese Manufacturing"/>
    <s v="2401 Mac Arthur Drive, Tracy, CA 95376"/>
    <s v="Tracy"/>
    <s v="California"/>
    <n v="95376"/>
    <n v="37.755000000000003"/>
    <n v="-121.416"/>
    <s v="CA06077005302"/>
    <s v="San Joaquin"/>
    <s v="San Joaquin Valley APCD"/>
    <s v="San Joaquin Valley"/>
    <x v="1"/>
    <n v="17494"/>
    <n v="17494"/>
    <n v="0"/>
    <n v="17476"/>
    <n v="0.33"/>
    <n v="0.03"/>
    <x v="0"/>
    <n v="0.5"/>
    <x v="108"/>
    <x v="6"/>
    <n v="5.4"/>
    <x v="111"/>
  </r>
  <r>
    <n v="2023"/>
    <n v="104106"/>
    <n v="774"/>
    <s v="Leprino Foods - Lemoore East"/>
    <x v="0"/>
    <n v="311513"/>
    <s v="Cheese Manufacturing"/>
    <s v="490 F street, Lemoore, CA 93245"/>
    <s v="Lemoore"/>
    <s v="California"/>
    <n v="93245"/>
    <n v="36.304000000000002"/>
    <n v="-119.788"/>
    <s v="CA06031000404"/>
    <s v="Kings"/>
    <s v="San Joaquin Valley APCD"/>
    <s v="San Joaquin Valley"/>
    <x v="1"/>
    <n v="21733"/>
    <n v="21733"/>
    <n v="0"/>
    <n v="21710"/>
    <n v="0.41"/>
    <n v="0.04"/>
    <x v="0"/>
    <n v="0.8"/>
    <x v="26"/>
    <x v="16"/>
    <n v="5.3"/>
    <x v="64"/>
  </r>
  <r>
    <n v="2023"/>
    <n v="104122"/>
    <n v="1000"/>
    <s v="Johns Manville"/>
    <x v="0"/>
    <n v="327993"/>
    <s v="Mineral Wool Manufacturing"/>
    <s v="5916 Country Road 49, Willows, CA 95988"/>
    <s v="Willows"/>
    <s v="California"/>
    <n v="95988"/>
    <n v="39.533999999999999"/>
    <n v="-122.26"/>
    <s v="CA06021010300"/>
    <s v="Glenn"/>
    <s v="Glenn County APCD"/>
    <s v="Sacramento Valley"/>
    <x v="0"/>
    <n v="14950"/>
    <n v="14950"/>
    <n v="0"/>
    <n v="14939"/>
    <n v="0.2"/>
    <n v="0.02"/>
    <x v="150"/>
    <n v="0"/>
    <x v="23"/>
    <x v="11"/>
    <n v="84.8"/>
    <x v="126"/>
  </r>
  <r>
    <n v="2023"/>
    <n v="104135"/>
    <n v="9010"/>
    <s v="California Paperboard Corporation"/>
    <x v="0"/>
    <n v="322130"/>
    <s v="Paperboard Mills"/>
    <s v="525 Mathew Street, Santa Clara, CA 95050"/>
    <s v="Santa Clara"/>
    <s v="California"/>
    <n v="95050"/>
    <n v="37.36"/>
    <n v="-121.94"/>
    <s v="CA06085505202"/>
    <s v="Santa Clara"/>
    <s v="Bay Area AQMD"/>
    <s v="San Francisco Bay Area"/>
    <x v="0"/>
    <n v="12829"/>
    <n v="12829"/>
    <n v="0"/>
    <n v="12816"/>
    <n v="0.24"/>
    <n v="0.02"/>
    <x v="151"/>
    <n v="16.600000000000001"/>
    <x v="46"/>
    <x v="8"/>
    <n v="0.3"/>
    <x v="24"/>
  </r>
  <r>
    <n v="2023"/>
    <n v="104136"/>
    <m/>
    <s v="Newark Pacific Paperboard"/>
    <x v="0"/>
    <n v="322130"/>
    <s v="Paperboard Mills"/>
    <s v="6001 S Eastern Ave, Los Angeles, CA 90040"/>
    <s v="Los Angeles"/>
    <s v="California"/>
    <n v="90040"/>
    <n v="33.981999999999999"/>
    <n v="-118.16500000000001"/>
    <s v="CA06037533703"/>
    <s v="Los Angeles"/>
    <s v="South Coast AQMD"/>
    <s v="South Coast"/>
    <x v="0"/>
    <n v="13722"/>
    <n v="13722"/>
    <n v="0"/>
    <n v="13708"/>
    <n v="0.26"/>
    <n v="0.03"/>
    <x v="152"/>
    <n v="0"/>
    <x v="23"/>
    <x v="11"/>
    <n v="0"/>
    <x v="17"/>
  </r>
  <r>
    <n v="2023"/>
    <n v="104138"/>
    <n v="1626"/>
    <s v="Del Monte - Modesto"/>
    <x v="0"/>
    <n v="311421"/>
    <s v="Fruit and Vegetable Canning"/>
    <s v="4000 Yosemite Blvd, Modesto, CA 95357"/>
    <s v="Modesto"/>
    <s v="California"/>
    <n v="95357"/>
    <n v="37.636000000000003"/>
    <n v="-120.91800000000001"/>
    <s v="CA06099002002"/>
    <s v="Stanislaus"/>
    <s v="San Joaquin Valley APCD"/>
    <s v="San Joaquin Valley"/>
    <x v="1"/>
    <n v="14363"/>
    <n v="14363"/>
    <n v="0"/>
    <n v="14348"/>
    <n v="0.27"/>
    <n v="0.03"/>
    <x v="0"/>
    <n v="2.7"/>
    <x v="18"/>
    <x v="19"/>
    <n v="1"/>
    <x v="18"/>
  </r>
  <r>
    <n v="2023"/>
    <n v="104165"/>
    <n v="12071"/>
    <s v="Bayer Healthcare"/>
    <x v="0"/>
    <n v="325414"/>
    <s v="Biological Product (except Diagnostic) Manufacturing"/>
    <s v="800 Dwight Way, Berkeley, CA 94710"/>
    <s v="Berkeley"/>
    <s v="California"/>
    <n v="94710"/>
    <n v="37.859000000000002"/>
    <n v="-122.29600000000001"/>
    <s v="CA06001422000"/>
    <s v="Alameda"/>
    <s v="Bay Area AQMD"/>
    <s v="San Francisco Bay Area"/>
    <x v="1"/>
    <n v="11570"/>
    <n v="11570"/>
    <n v="0"/>
    <n v="11558"/>
    <n v="0.22"/>
    <n v="0.02"/>
    <x v="0"/>
    <n v="13.1"/>
    <x v="159"/>
    <x v="8"/>
    <n v="0.3"/>
    <x v="24"/>
  </r>
  <r>
    <n v="2023"/>
    <n v="104173"/>
    <n v="49387"/>
    <s v="University of California, Riverside, UCR"/>
    <x v="0"/>
    <n v="611310"/>
    <s v="Colleges, Universities, and Professional Schools"/>
    <s v="900 University Avenue, Riverside, CA 92521"/>
    <s v="Riverside"/>
    <s v="California"/>
    <n v="92521"/>
    <n v="33.975999999999999"/>
    <n v="-117.33199999999999"/>
    <s v="CA06065046500"/>
    <s v="Riverside"/>
    <s v="South Coast AQMD"/>
    <s v="South Coast"/>
    <x v="1"/>
    <n v="24751"/>
    <n v="24751"/>
    <n v="0"/>
    <n v="24725"/>
    <n v="0.47"/>
    <n v="0.05"/>
    <x v="0"/>
    <n v="1.6"/>
    <x v="114"/>
    <x v="8"/>
    <n v="4.5"/>
    <x v="15"/>
  </r>
  <r>
    <n v="2023"/>
    <n v="104197"/>
    <n v="8547"/>
    <s v="Quemetco, Inc."/>
    <x v="0"/>
    <n v="331492"/>
    <s v="Secondary Smelting, Refining, and Alloying of Nonferrous Metal (except Copper and Aluminum)"/>
    <s v="720 South 7th Avenue, City of Industry, CA 91746"/>
    <s v="City of Industry"/>
    <s v="California"/>
    <n v="91746"/>
    <n v="34.024999999999999"/>
    <n v="-117.983"/>
    <s v="CA06037408202"/>
    <s v="Los Angeles"/>
    <s v="South Coast AQMD"/>
    <s v="South Coast"/>
    <x v="0"/>
    <n v="55783"/>
    <n v="55783"/>
    <n v="0"/>
    <n v="55768"/>
    <n v="0.28000000000000003"/>
    <n v="0.03"/>
    <x v="153"/>
    <n v="3.3"/>
    <x v="160"/>
    <x v="77"/>
    <n v="1"/>
    <x v="127"/>
  </r>
  <r>
    <n v="2023"/>
    <n v="104198"/>
    <n v="6656"/>
    <s v="Richard J Donovan Correctional Facility"/>
    <x v="0"/>
    <n v="922140"/>
    <s v="Correctional Institutions"/>
    <s v="480 Alta Road, San Diego, CA 92179"/>
    <s v="San Diego"/>
    <s v="California"/>
    <n v="92179"/>
    <n v="32.582000000000001"/>
    <n v="-116.931"/>
    <s v="CA06073010014"/>
    <s v="San Diego"/>
    <s v="San Diego County APCD"/>
    <s v="San Diego"/>
    <x v="1"/>
    <n v="5737"/>
    <n v="5737"/>
    <n v="0"/>
    <n v="5731"/>
    <n v="0.11"/>
    <n v="0.01"/>
    <x v="0"/>
    <n v="0.3"/>
    <x v="161"/>
    <x v="11"/>
    <n v="0"/>
    <x v="17"/>
  </r>
  <r>
    <n v="2023"/>
    <n v="104199"/>
    <n v="917"/>
    <s v="Campbell Soup Supply Company, L.L.C. - Stockton"/>
    <x v="0"/>
    <n v="311421"/>
    <s v="Fruit and Vegetable Canning"/>
    <s v="760 Industrial Drive, Stockton, CA 95206"/>
    <s v="Stockton"/>
    <s v="California"/>
    <n v="95206"/>
    <n v="37.957999999999998"/>
    <n v="-121.29"/>
    <s v="CA06077000100"/>
    <s v="San Joaquin"/>
    <s v="San Joaquin Valley APCD"/>
    <s v="San Joaquin Valley"/>
    <x v="1"/>
    <n v="22881"/>
    <n v="22881"/>
    <n v="0"/>
    <n v="22857"/>
    <n v="0.43"/>
    <n v="0.04"/>
    <x v="0"/>
    <n v="1.2"/>
    <x v="77"/>
    <x v="16"/>
    <n v="1.6"/>
    <x v="96"/>
  </r>
  <r>
    <n v="2023"/>
    <n v="104200"/>
    <n v="314"/>
    <s v="Escalon Premier Brands, a Division of Kraft Heinz Company"/>
    <x v="0"/>
    <n v="311421"/>
    <s v="Fruit and Vegetable Canning"/>
    <s v="1905 McHenry Avenue, Escalon, CA 95320"/>
    <s v="Escalon"/>
    <s v="California"/>
    <n v="95320"/>
    <n v="37.795000000000002"/>
    <n v="-120.997"/>
    <s v="CA06077004901"/>
    <s v="San Joaquin"/>
    <s v="San Joaquin Valley APCD"/>
    <s v="San Joaquin Valley"/>
    <x v="1"/>
    <n v="22753"/>
    <n v="22753"/>
    <n v="0"/>
    <n v="22730"/>
    <n v="0.43"/>
    <n v="0.04"/>
    <x v="0"/>
    <n v="0.6"/>
    <x v="162"/>
    <x v="16"/>
    <n v="1.4"/>
    <x v="71"/>
  </r>
  <r>
    <n v="2023"/>
    <n v="104202"/>
    <n v="800129"/>
    <s v="SFPP L.P. - Colton Terminal"/>
    <x v="0"/>
    <n v="493190"/>
    <s v="Other Warehousing and Storage"/>
    <s v="2359 S Riverside Ave, Bloomington, CA 92316"/>
    <s v="Bloomington"/>
    <s v="California"/>
    <n v="92316"/>
    <n v="34.058"/>
    <n v="-117.37"/>
    <s v="CA06071004004"/>
    <s v="San Bernardino"/>
    <s v="South Coast AQMD"/>
    <s v="South Coast"/>
    <x v="1"/>
    <n v="8543"/>
    <n v="8543"/>
    <n v="0"/>
    <n v="8492"/>
    <n v="0.62"/>
    <n v="0.12"/>
    <x v="0"/>
    <n v="97.1"/>
    <x v="42"/>
    <x v="11"/>
    <n v="8.1"/>
    <x v="56"/>
  </r>
  <r>
    <n v="2023"/>
    <n v="104204"/>
    <n v="47"/>
    <s v="Edwards Air Force Base"/>
    <x v="0"/>
    <n v="928110"/>
    <s v="National Security"/>
    <s v="12 Laboratory Road, Edwards, CA 93524"/>
    <s v="Edwards"/>
    <s v="California"/>
    <n v="93524"/>
    <n v="34.933"/>
    <n v="-117.907"/>
    <s v="CA06029005700"/>
    <s v="Kern"/>
    <s v="Eastern Kern APCD"/>
    <s v="Mojave Desert"/>
    <x v="1"/>
    <n v="20568"/>
    <n v="20568"/>
    <n v="0"/>
    <n v="20543"/>
    <n v="0.43"/>
    <n v="0.05"/>
    <x v="0"/>
    <n v="18.3"/>
    <x v="163"/>
    <x v="78"/>
    <n v="591.5"/>
    <x v="128"/>
  </r>
  <r>
    <n v="2023"/>
    <n v="104205"/>
    <n v="201"/>
    <s v="Vandenberg Space Force Base"/>
    <x v="0"/>
    <n v="928110"/>
    <s v="National Security"/>
    <s v="1028 Iceland Ave, Building 11146, Vandenberg AFB, CA 93437"/>
    <s v="Vandenberg AFB"/>
    <s v="California"/>
    <n v="93437"/>
    <n v="34.718000000000004"/>
    <n v="-120.536"/>
    <s v="CA06083002606"/>
    <s v="Santa Barbara"/>
    <s v="Santa Barbara County APCD"/>
    <s v="South Central Coast"/>
    <x v="1"/>
    <n v="9318"/>
    <n v="9318"/>
    <n v="0"/>
    <n v="9306"/>
    <n v="0.19"/>
    <n v="0.02"/>
    <x v="0"/>
    <n v="3.4"/>
    <x v="164"/>
    <x v="11"/>
    <n v="0.2"/>
    <x v="48"/>
  </r>
  <r>
    <n v="2023"/>
    <n v="104207"/>
    <n v="1919"/>
    <s v="Frito Lay - Modesto"/>
    <x v="0"/>
    <n v="311919"/>
    <s v="Other Snack Food Manufacturing"/>
    <s v="600 Garner Road, Modesto, CA 95357"/>
    <s v="Modesto"/>
    <s v="California"/>
    <n v="95357"/>
    <n v="37.631"/>
    <n v="-120.919"/>
    <s v="CA06099002002"/>
    <s v="Stanislaus"/>
    <s v="San Joaquin Valley APCD"/>
    <s v="San Joaquin Valley"/>
    <x v="0"/>
    <n v="27644"/>
    <n v="27644"/>
    <n v="0"/>
    <n v="27615"/>
    <n v="0.52"/>
    <n v="0.05"/>
    <x v="154"/>
    <n v="3.7"/>
    <x v="155"/>
    <x v="8"/>
    <n v="11.5"/>
    <x v="100"/>
  </r>
  <r>
    <n v="2023"/>
    <n v="104214"/>
    <n v="328"/>
    <s v="Naval Air Weapons Station China Lake"/>
    <x v="0"/>
    <n v="928110"/>
    <s v="National Security"/>
    <s v="429 Bowen Rd, Stop 4014, China Lake, CA 93555-6108"/>
    <s v="China Lake"/>
    <s v="California"/>
    <n v="93555"/>
    <n v="35.652000000000001"/>
    <n v="-117.66800000000001"/>
    <s v="CA06029005300"/>
    <s v="Kern"/>
    <s v="Eastern Kern APCD"/>
    <s v="Mojave Desert"/>
    <x v="1"/>
    <n v="9680"/>
    <n v="9680"/>
    <n v="0"/>
    <n v="9667"/>
    <n v="0.21"/>
    <n v="0.03"/>
    <x v="0"/>
    <n v="2.9"/>
    <x v="165"/>
    <x v="11"/>
    <n v="0.6"/>
    <x v="28"/>
  </r>
  <r>
    <n v="2023"/>
    <n v="104215"/>
    <n v="1807"/>
    <s v="E&amp;B Natural Resources - San Joaquin Valley"/>
    <x v="5"/>
    <n v="211111"/>
    <s v="Crude Petroleum and Natural Gas Extraction"/>
    <s v="3000 James Rd., Bakersfield, CA 93308"/>
    <s v="Bakersfield"/>
    <s v="California"/>
    <n v="93308"/>
    <n v="35.47"/>
    <n v="-119.065"/>
    <s v="CA06029005103"/>
    <s v="Kern"/>
    <s v="San Joaquin Valley APCD"/>
    <s v="San Joaquin Valley"/>
    <x v="0"/>
    <n v="422667"/>
    <n v="422667"/>
    <n v="0"/>
    <n v="420182"/>
    <n v="89.86"/>
    <n v="0.8"/>
    <x v="155"/>
    <n v="21.8"/>
    <x v="42"/>
    <x v="79"/>
    <n v="10"/>
    <x v="113"/>
  </r>
  <r>
    <n v="2023"/>
    <n v="104216"/>
    <n v="71510"/>
    <s v="John Wayne Airport Orange County"/>
    <x v="0"/>
    <n v="488119"/>
    <s v="Other Airport Operations"/>
    <s v="18601 Airport Drive, Santa Ana, CA 92707"/>
    <s v="Santa Ana"/>
    <s v="California"/>
    <n v="92707"/>
    <n v="33.677999999999997"/>
    <n v="-117.863"/>
    <s v="CA06059062610"/>
    <s v="Orange"/>
    <s v="South Coast AQMD"/>
    <s v="South Coast"/>
    <x v="1"/>
    <n v="7227"/>
    <n v="7227"/>
    <n v="0"/>
    <n v="7220"/>
    <n v="0.14000000000000001"/>
    <n v="0.01"/>
    <x v="0"/>
    <n v="1.1000000000000001"/>
    <x v="19"/>
    <x v="11"/>
    <n v="0.7"/>
    <x v="104"/>
  </r>
  <r>
    <n v="2023"/>
    <n v="104220"/>
    <m/>
    <s v="Southern California Gas Co - Wheeler Ridge Compressor Station"/>
    <x v="5"/>
    <n v="486210"/>
    <s v="Pipeline Transportation of Natural Gas"/>
    <s v="9530 Highway 166, Mettler, CA 93313"/>
    <s v="Mettler"/>
    <s v="California"/>
    <n v="93313"/>
    <n v="35.06"/>
    <n v="-119.01"/>
    <s v="CA06029003304"/>
    <s v="Kern"/>
    <s v="San Joaquin Valley APCD"/>
    <s v="San Joaquin Valley"/>
    <x v="1"/>
    <n v="23324"/>
    <n v="23324"/>
    <n v="0"/>
    <n v="20404"/>
    <n v="116.33"/>
    <n v="0.04"/>
    <x v="0"/>
    <n v="0"/>
    <x v="23"/>
    <x v="11"/>
    <n v="0"/>
    <x v="17"/>
  </r>
  <r>
    <n v="2023"/>
    <n v="104221"/>
    <n v="4242"/>
    <s v="SDG&amp;E - Moreno Compressor Station"/>
    <x v="5"/>
    <n v="486210"/>
    <s v="Pipeline Transportation of Natural Gas"/>
    <s v="14601 Virginia Street, Moreno Valley, CA 92555"/>
    <s v="Moreno Valley"/>
    <s v="California"/>
    <n v="92555"/>
    <n v="33.908000000000001"/>
    <n v="-117.121"/>
    <s v="CA06065042624"/>
    <s v="Riverside"/>
    <s v="South Coast AQMD"/>
    <s v="South Coast"/>
    <x v="1"/>
    <n v="9734"/>
    <n v="9734"/>
    <n v="0"/>
    <n v="9724"/>
    <n v="0.18"/>
    <n v="0.02"/>
    <x v="0"/>
    <n v="4.8"/>
    <x v="166"/>
    <x v="8"/>
    <n v="3.2"/>
    <x v="0"/>
  </r>
  <r>
    <n v="2023"/>
    <n v="104224"/>
    <n v="3336"/>
    <s v="J.G. Boswell Company West Processing Townsite"/>
    <x v="0"/>
    <n v="311223"/>
    <s v="Other Oilseed Processing"/>
    <s v="710 Bainum Ave, Corcoran, CA 93212"/>
    <s v="Corcoran"/>
    <s v="California"/>
    <n v="93212"/>
    <n v="36.090000000000003"/>
    <n v="-119.55200000000001"/>
    <s v="CA06031001300"/>
    <s v="Kings"/>
    <s v="San Joaquin Valley APCD"/>
    <s v="San Joaquin Valley"/>
    <x v="1"/>
    <n v="8765"/>
    <n v="8765"/>
    <n v="0"/>
    <n v="8755"/>
    <n v="0.17"/>
    <n v="0.02"/>
    <x v="0"/>
    <n v="150.4"/>
    <x v="167"/>
    <x v="21"/>
    <n v="12.4"/>
    <x v="60"/>
  </r>
  <r>
    <n v="2023"/>
    <n v="104227"/>
    <n v="10861"/>
    <s v="Northrop Grumman Marine Systems - Sunnyvale"/>
    <x v="0"/>
    <n v="333612"/>
    <s v="Speed Changer, Industrial High-Speed Drive, and Gear Manufacturing"/>
    <s v="401 East Hendy Ave., MS 16-1, Sunnyvale, CA 94088"/>
    <s v="Sunnyvale"/>
    <s v="California"/>
    <n v="94088"/>
    <n v="37.42"/>
    <n v="-122"/>
    <s v="CA06085504602"/>
    <s v="Santa Clara"/>
    <s v="Bay Area AQMD"/>
    <s v="San Francisco Bay Area"/>
    <x v="0"/>
    <n v="35104"/>
    <n v="35104"/>
    <n v="0"/>
    <n v="35068"/>
    <n v="0.66"/>
    <n v="7.0000000000000007E-2"/>
    <x v="156"/>
    <n v="3.7"/>
    <x v="168"/>
    <x v="21"/>
    <n v="1.1000000000000001"/>
    <x v="60"/>
  </r>
  <r>
    <n v="2023"/>
    <n v="104322"/>
    <n v="364"/>
    <s v="MP Mine Operations LLC"/>
    <x v="0"/>
    <n v="212299"/>
    <s v="All Other Metal Ore Mining"/>
    <s v="67750 Bailey Road, Mountain Pass, CA 92366"/>
    <s v="Mountain Pass"/>
    <s v="California"/>
    <n v="92366"/>
    <n v="35.473999999999997"/>
    <n v="-115.52800000000001"/>
    <s v="CA06071010300"/>
    <s v="San Bernardino"/>
    <s v="Mojave Desert AQMD"/>
    <s v="Mojave Desert"/>
    <x v="0"/>
    <n v="58672"/>
    <n v="58672"/>
    <n v="0"/>
    <n v="58611"/>
    <n v="1.1100000000000001"/>
    <n v="0.11"/>
    <x v="157"/>
    <n v="1.7"/>
    <x v="168"/>
    <x v="40"/>
    <n v="10.6"/>
    <x v="129"/>
  </r>
  <r>
    <n v="2023"/>
    <n v="104324"/>
    <n v="800409"/>
    <s v="Northrop Grumman Systems Corp. - Redondo Beach"/>
    <x v="0"/>
    <n v="336414"/>
    <s v="Guided Missile and Space Vehicle Manufacturing"/>
    <s v="One Space Park, Redondo Beach, CA 90278"/>
    <s v="Redondo Beach"/>
    <s v="California"/>
    <n v="90278"/>
    <n v="33.890999999999998"/>
    <n v="-118.374"/>
    <s v="CA06037620501"/>
    <s v="Los Angeles"/>
    <s v="South Coast AQMD"/>
    <s v="South Coast"/>
    <x v="1"/>
    <n v="10065"/>
    <n v="10065"/>
    <n v="0"/>
    <n v="10054"/>
    <n v="0.19"/>
    <n v="0.02"/>
    <x v="0"/>
    <n v="2.8"/>
    <x v="169"/>
    <x v="8"/>
    <n v="3.7"/>
    <x v="108"/>
  </r>
  <r>
    <n v="2023"/>
    <n v="104325"/>
    <n v="12870"/>
    <s v="Shell Chemical LP - Martinez Catalyst Plant"/>
    <x v="0"/>
    <n v="325188"/>
    <s v="All Other Basic Inorganic Chemical Manufacturing"/>
    <s v="10 Mococo Road, Martinez, CA 94553"/>
    <s v="Martinez"/>
    <s v="California"/>
    <n v="94553"/>
    <n v="38.027000000000001"/>
    <n v="-122.117"/>
    <s v="CA06013320001"/>
    <s v="Contra Costa"/>
    <s v="Bay Area AQMD"/>
    <s v="San Francisco Bay Area"/>
    <x v="1"/>
    <n v="10458"/>
    <n v="10458"/>
    <n v="0"/>
    <n v="10447"/>
    <n v="0.2"/>
    <n v="0.02"/>
    <x v="0"/>
    <n v="13.4"/>
    <x v="170"/>
    <x v="6"/>
    <n v="2.7"/>
    <x v="108"/>
  </r>
  <r>
    <n v="2023"/>
    <n v="104329"/>
    <n v="16639"/>
    <s v="Shultz Steel Company"/>
    <x v="0"/>
    <n v="332111"/>
    <s v="Iron and Steel Forging"/>
    <s v="5321 Firestone Blvd., South Gate, CA 90280"/>
    <s v="South Gate"/>
    <s v="California"/>
    <n v="90280"/>
    <n v="33.950000000000003"/>
    <n v="-118.17400000000001"/>
    <s v="CA06037536104"/>
    <s v="Los Angeles"/>
    <s v="South Coast AQMD"/>
    <s v="South Coast"/>
    <x v="0"/>
    <n v="20426"/>
    <n v="20426"/>
    <n v="0"/>
    <n v="20404"/>
    <n v="0.38"/>
    <n v="0.04"/>
    <x v="158"/>
    <n v="3"/>
    <x v="171"/>
    <x v="8"/>
    <n v="1.5"/>
    <x v="89"/>
  </r>
  <r>
    <n v="2023"/>
    <n v="104330"/>
    <n v="89296"/>
    <s v="City of San Diego, Public Utilities Dept, Pump Station 2"/>
    <x v="0"/>
    <n v="924110"/>
    <s v="Administration of Air and Water Resource and Solid Waste Management Programs"/>
    <s v="4077 North Harbor Dr., San Diego, CA 92101"/>
    <s v="San Diego"/>
    <s v="California"/>
    <n v="92101"/>
    <n v="32.728999999999999"/>
    <n v="-117.211"/>
    <s v="CA06073021400"/>
    <s v="San Diego"/>
    <s v="San Diego County APCD"/>
    <s v="San Diego"/>
    <x v="1"/>
    <n v="6883"/>
    <n v="6883"/>
    <n v="0"/>
    <n v="6876"/>
    <n v="0.13"/>
    <n v="0.01"/>
    <x v="0"/>
    <n v="1.2"/>
    <x v="141"/>
    <x v="11"/>
    <n v="0.7"/>
    <x v="104"/>
  </r>
  <r>
    <n v="2023"/>
    <n v="104334"/>
    <n v="72"/>
    <s v="Baker Commodities, Inc., Kerman Division"/>
    <x v="0"/>
    <n v="311613"/>
    <s v="Rendering and Meat Byproduct Processing"/>
    <s v="16801 Jensen Avenue, Kerman, CA 93630"/>
    <s v="Kerman"/>
    <s v="California"/>
    <n v="93630"/>
    <n v="36.703000000000003"/>
    <n v="-120.095"/>
    <s v="CA06019003900"/>
    <s v="Fresno"/>
    <s v="San Joaquin Valley APCD"/>
    <s v="San Joaquin Valley"/>
    <x v="1"/>
    <n v="16351"/>
    <n v="16351"/>
    <n v="0"/>
    <n v="16334"/>
    <n v="0.31"/>
    <n v="0.03"/>
    <x v="0"/>
    <n v="0.6"/>
    <x v="172"/>
    <x v="80"/>
    <n v="4.3"/>
    <x v="79"/>
  </r>
  <r>
    <n v="2023"/>
    <n v="104337"/>
    <n v="63180"/>
    <s v="Darling Ingredients Inc - Los Angeles"/>
    <x v="0"/>
    <n v="311613"/>
    <s v="Rendering and Meat Byproduct Processing"/>
    <s v="2626 East 26th Street, Los Angeles, CA 90058"/>
    <s v="Los Angeles"/>
    <s v="California"/>
    <n v="90058"/>
    <n v="34.015000000000001"/>
    <n v="-118.22499999999999"/>
    <s v="CA06037206031"/>
    <s v="Los Angeles"/>
    <s v="South Coast AQMD"/>
    <s v="South Coast"/>
    <x v="0"/>
    <n v="25449"/>
    <n v="25449"/>
    <n v="0"/>
    <n v="25423"/>
    <n v="0.48"/>
    <n v="0.05"/>
    <x v="159"/>
    <n v="1.3"/>
    <x v="44"/>
    <x v="8"/>
    <n v="1.8"/>
    <x v="8"/>
  </r>
  <r>
    <n v="2023"/>
    <n v="104338"/>
    <n v="406"/>
    <s v="Darling Ingredients Inc - Fresno"/>
    <x v="0"/>
    <n v="311613"/>
    <s v="Rendering and Meat Byproduct Processing"/>
    <s v="795 West Belgravia, Fresno, CA 93706"/>
    <s v="Fresno"/>
    <s v="California"/>
    <n v="93706"/>
    <n v="36.715000000000003"/>
    <n v="-119.82"/>
    <s v="CA06019000800"/>
    <s v="Fresno"/>
    <s v="San Joaquin Valley APCD"/>
    <s v="San Joaquin Valley"/>
    <x v="1"/>
    <n v="10754"/>
    <n v="10754"/>
    <n v="0"/>
    <n v="10743"/>
    <n v="0.2"/>
    <n v="0.02"/>
    <x v="0"/>
    <n v="0.3"/>
    <x v="173"/>
    <x v="21"/>
    <n v="1.1000000000000001"/>
    <x v="60"/>
  </r>
  <r>
    <n v="2023"/>
    <n v="104339"/>
    <n v="2107"/>
    <s v="Darling Ingredients Inc - Turlock"/>
    <x v="0"/>
    <n v="311613"/>
    <s v="Rendering and Meat Byproduct Processing"/>
    <s v="11946 Carpenter Road, Crow's Landing, CA 95313"/>
    <s v="Crows Landing"/>
    <s v="California"/>
    <n v="95313"/>
    <n v="37.465000000000003"/>
    <n v="-121.03"/>
    <s v="CA06099003100"/>
    <s v="Stanislaus"/>
    <s v="San Joaquin Valley APCD"/>
    <s v="San Joaquin Valley"/>
    <x v="1"/>
    <n v="19387"/>
    <n v="19387"/>
    <n v="0"/>
    <n v="19367"/>
    <n v="0.37"/>
    <n v="0.04"/>
    <x v="0"/>
    <n v="2.2000000000000002"/>
    <x v="13"/>
    <x v="81"/>
    <n v="0.2"/>
    <x v="48"/>
  </r>
  <r>
    <n v="2023"/>
    <n v="104340"/>
    <n v="227"/>
    <s v="Shell Catalysts &amp; Technologies"/>
    <x v="0"/>
    <n v="325188"/>
    <s v="All Other Basic Inorganic Chemical Manufacturing"/>
    <s v="2840 Willow Pass Rd, Pittsburg, CA 94565"/>
    <s v="Pittsburg"/>
    <s v="California"/>
    <n v="94565"/>
    <n v="38.027999999999999"/>
    <n v="-121.943"/>
    <s v="CA06013314103"/>
    <s v="Contra Costa"/>
    <s v="Bay Area AQMD"/>
    <s v="San Francisco Bay Area"/>
    <x v="1"/>
    <n v="14644"/>
    <n v="14644"/>
    <n v="0"/>
    <n v="14629"/>
    <n v="0.28000000000000003"/>
    <n v="0.03"/>
    <x v="0"/>
    <n v="8.4"/>
    <x v="174"/>
    <x v="51"/>
    <n v="9.4"/>
    <x v="91"/>
  </r>
  <r>
    <n v="2023"/>
    <n v="104345"/>
    <n v="3704"/>
    <s v="All American Asphalt - Corona"/>
    <x v="0"/>
    <n v="324121"/>
    <s v="Asphalt Paving Mixture and Block Manufacturing"/>
    <s v="1776 All American Way, Corona, CA 92879"/>
    <s v="Corona"/>
    <s v="California"/>
    <n v="92879"/>
    <n v="33.868000000000002"/>
    <n v="-117.524"/>
    <s v="CA06065041409"/>
    <s v="Riverside"/>
    <s v="South Coast AQMD"/>
    <s v="South Coast"/>
    <x v="1"/>
    <n v="12858"/>
    <n v="12858"/>
    <n v="0"/>
    <n v="12845"/>
    <n v="0.24"/>
    <n v="0.02"/>
    <x v="0"/>
    <n v="17.100000000000001"/>
    <x v="175"/>
    <x v="8"/>
    <n v="23.9"/>
    <x v="6"/>
  </r>
  <r>
    <n v="2023"/>
    <n v="104347"/>
    <n v="7488"/>
    <s v="Aemetis Advanced Fuels Keyes, Inc."/>
    <x v="0"/>
    <n v="325193"/>
    <s v="Ethyl Alcohol Manufacturing"/>
    <s v="4209 Jessup Road, Ceres, CA 95307"/>
    <s v="Ceres"/>
    <s v="California"/>
    <n v="95307"/>
    <n v="37.552999999999997"/>
    <n v="-120.916"/>
    <s v="CA06099003002"/>
    <s v="Stanislaus"/>
    <s v="San Joaquin Valley APCD"/>
    <s v="San Joaquin Valley"/>
    <x v="0"/>
    <n v="67194"/>
    <n v="40538"/>
    <n v="26656"/>
    <n v="67152"/>
    <n v="0.76"/>
    <n v="0.08"/>
    <x v="160"/>
    <n v="5.8"/>
    <x v="65"/>
    <x v="11"/>
    <n v="3.1"/>
    <x v="11"/>
  </r>
  <r>
    <n v="2023"/>
    <n v="104349"/>
    <n v="83102"/>
    <s v="Custom Alloy Sales, Inc."/>
    <x v="0"/>
    <n v="331314"/>
    <s v="Secondary Smelting and Alloying of Aluminum"/>
    <s v="13329 Ector St., Industry, CA 91746"/>
    <s v="City of Industry"/>
    <s v="California"/>
    <n v="91746"/>
    <n v="34.055999999999997"/>
    <n v="-117.98699999999999"/>
    <s v="CA06037407002"/>
    <s v="Los Angeles"/>
    <s v="South Coast AQMD"/>
    <s v="South Coast"/>
    <x v="1"/>
    <n v="10329"/>
    <n v="10329"/>
    <n v="0"/>
    <n v="10319"/>
    <n v="0.19"/>
    <n v="0.02"/>
    <x v="0"/>
    <n v="0.8"/>
    <x v="176"/>
    <x v="8"/>
    <n v="2.5"/>
    <x v="9"/>
  </r>
  <r>
    <n v="2023"/>
    <n v="104350"/>
    <n v="15507"/>
    <s v="California State University, Fullerton"/>
    <x v="0"/>
    <n v="611310"/>
    <s v="Colleges, Universities, and Professional Schools"/>
    <s v="800 N State College Blvd, Fullerton, CA 92831"/>
    <s v="Fullerton"/>
    <s v="California"/>
    <n v="92831"/>
    <n v="33.878"/>
    <n v="-117.89"/>
    <s v="CA06059011503"/>
    <s v="Orange"/>
    <s v="South Coast AQMD"/>
    <s v="South Coast"/>
    <x v="1"/>
    <n v="20317"/>
    <n v="20317"/>
    <n v="0"/>
    <n v="20296"/>
    <n v="0.38"/>
    <n v="0.04"/>
    <x v="0"/>
    <n v="1.2"/>
    <x v="177"/>
    <x v="11"/>
    <n v="1.8"/>
    <x v="13"/>
  </r>
  <r>
    <n v="2023"/>
    <n v="104353"/>
    <n v="173"/>
    <s v="California Natural Products"/>
    <x v="0"/>
    <n v="311511"/>
    <s v="Fluid Milk Manufacturing"/>
    <s v="1250 E Lathrop Rd, Lathrop, CA 95330"/>
    <s v="Lathrop"/>
    <s v="California"/>
    <n v="95330"/>
    <n v="37.825000000000003"/>
    <n v="-121.273"/>
    <s v="CA06077005119"/>
    <s v="San Joaquin"/>
    <s v="San Joaquin Valley APCD"/>
    <s v="San Joaquin Valley"/>
    <x v="1"/>
    <n v="19560"/>
    <n v="19560"/>
    <n v="0"/>
    <n v="19538"/>
    <n v="0.39"/>
    <n v="0.04"/>
    <x v="0"/>
    <n v="0.5"/>
    <x v="77"/>
    <x v="19"/>
    <n v="2.2999999999999998"/>
    <x v="51"/>
  </r>
  <r>
    <n v="2023"/>
    <n v="104354"/>
    <n v="843"/>
    <s v="Lactalis Heritage Dairy, Inc. "/>
    <x v="0"/>
    <n v="311513"/>
    <s v="Cheese Manufacturing"/>
    <s v="10800 Ave 184, Tulare, CA 93274"/>
    <s v="Tulare"/>
    <s v="California"/>
    <n v="93274"/>
    <n v="36.131999999999998"/>
    <n v="-119.328"/>
    <s v="CA06107003100"/>
    <s v="Tulare"/>
    <s v="San Joaquin Valley APCD"/>
    <s v="San Joaquin Valley"/>
    <x v="1"/>
    <n v="21973"/>
    <n v="21973"/>
    <n v="0"/>
    <n v="21950"/>
    <n v="0.41"/>
    <n v="0.04"/>
    <x v="0"/>
    <n v="0.8"/>
    <x v="77"/>
    <x v="16"/>
    <n v="3.1"/>
    <x v="60"/>
  </r>
  <r>
    <n v="2023"/>
    <n v="104355"/>
    <n v="318"/>
    <s v="Kaweah Delta Medical Center"/>
    <x v="0"/>
    <n v="622110"/>
    <s v="General Medical and Surgical Hospitals"/>
    <s v="400 W Mineralking Ave., Visalia, CA 93291"/>
    <s v="Visalia"/>
    <s v="California"/>
    <n v="93291"/>
    <n v="36.326999999999998"/>
    <n v="-119.295"/>
    <s v="CA06107001200"/>
    <s v="Tulare"/>
    <s v="San Joaquin Valley APCD"/>
    <s v="San Joaquin Valley"/>
    <x v="1"/>
    <n v="16932"/>
    <n v="16932"/>
    <n v="0"/>
    <n v="16915"/>
    <n v="0.32"/>
    <n v="0.03"/>
    <x v="0"/>
    <n v="0.2"/>
    <x v="19"/>
    <x v="21"/>
    <n v="0.3"/>
    <x v="24"/>
  </r>
  <r>
    <n v="2023"/>
    <n v="104356"/>
    <n v="800088"/>
    <s v="3M Corona"/>
    <x v="0"/>
    <n v="212319"/>
    <s v="Other Crushed and Broken Stone Mining and Quarrying"/>
    <s v="18750 Minnesota Road, Corona, CA 92881"/>
    <s v="Corona"/>
    <s v="California"/>
    <n v="92881"/>
    <n v="33.838000000000001"/>
    <n v="-117.517"/>
    <s v="CA06065041909"/>
    <s v="Riverside"/>
    <s v="South Coast AQMD"/>
    <s v="South Coast"/>
    <x v="1"/>
    <n v="15489"/>
    <n v="15489"/>
    <n v="0"/>
    <n v="15473"/>
    <n v="0.28999999999999998"/>
    <n v="0.03"/>
    <x v="0"/>
    <n v="8.6999999999999993"/>
    <x v="178"/>
    <x v="8"/>
    <n v="10.4"/>
    <x v="130"/>
  </r>
  <r>
    <n v="2023"/>
    <n v="104357"/>
    <n v="1059"/>
    <s v="Saint Agnes Medical Center"/>
    <x v="0"/>
    <n v="622110"/>
    <s v="General Medical and Surgical Hospitals"/>
    <s v="1303 E Herndon Ave, Fresno, CA 92720"/>
    <s v="Fresno"/>
    <s v="California"/>
    <n v="92720"/>
    <n v="36.835000000000001"/>
    <n v="-119.76600000000001"/>
    <s v="CA06019005406"/>
    <s v="Fresno"/>
    <s v="San Joaquin Valley APCD"/>
    <s v="San Joaquin Valley"/>
    <x v="1"/>
    <n v="24217"/>
    <n v="24217"/>
    <n v="0"/>
    <n v="24192"/>
    <n v="0.46"/>
    <n v="0.05"/>
    <x v="0"/>
    <n v="2.1"/>
    <x v="84"/>
    <x v="8"/>
    <n v="1.6"/>
    <x v="96"/>
  </r>
  <r>
    <n v="2023"/>
    <n v="104358"/>
    <n v="15504"/>
    <s v="Schlosser Forge Company"/>
    <x v="0"/>
    <n v="332112"/>
    <s v="Nonferrous Forging"/>
    <s v="11711 Arrow Route, Cucamonga, CA 91730"/>
    <s v="Cucamonga"/>
    <s v="California"/>
    <n v="91730"/>
    <n v="34.097999999999999"/>
    <n v="-117.54900000000001"/>
    <s v="CA06071002110"/>
    <s v="San Bernardino"/>
    <s v="South Coast AQMD"/>
    <s v="South Coast"/>
    <x v="0"/>
    <n v="22843"/>
    <n v="22843"/>
    <n v="0"/>
    <n v="22819"/>
    <n v="0.43"/>
    <n v="0.04"/>
    <x v="161"/>
    <n v="3.5"/>
    <x v="179"/>
    <x v="8"/>
    <n v="3.1"/>
    <x v="40"/>
  </r>
  <r>
    <n v="2023"/>
    <n v="104359"/>
    <n v="11360"/>
    <s v="Windset Farms"/>
    <x v="0"/>
    <n v="111419"/>
    <s v="Other Food Crops Grown Under Cover"/>
    <s v="1650 Black Road, Santa Maria, CA 93458"/>
    <s v="Santa Maria"/>
    <s v="California"/>
    <n v="93458"/>
    <n v="34.929000000000002"/>
    <n v="-120.488"/>
    <s v="CA06083002402"/>
    <s v="Santa Barbara"/>
    <s v="Santa Barbara County APCD"/>
    <s v="South Central Coast"/>
    <x v="0"/>
    <n v="28205"/>
    <n v="28205"/>
    <n v="0"/>
    <n v="28176"/>
    <n v="0.53"/>
    <n v="0.05"/>
    <x v="162"/>
    <n v="1.5"/>
    <x v="180"/>
    <x v="21"/>
    <n v="2.1"/>
    <x v="51"/>
  </r>
  <r>
    <n v="2023"/>
    <n v="104360"/>
    <n v="85"/>
    <s v="Western Digital Technologies, Inc."/>
    <x v="0"/>
    <n v="334112"/>
    <s v="Computer Storage Device Manufacturing"/>
    <s v="5601 Great Oaks Parkway, San Jose, CA 95119"/>
    <s v="San Jose"/>
    <s v="California"/>
    <n v="95119"/>
    <n v="37.247"/>
    <n v="-121.79"/>
    <s v="CA06085512033"/>
    <s v="Santa Clara"/>
    <s v="Bay Area AQMD"/>
    <s v="San Francisco Bay Area"/>
    <x v="1"/>
    <n v="18491"/>
    <n v="18491"/>
    <n v="0"/>
    <n v="18472"/>
    <n v="0.35"/>
    <n v="0.04"/>
    <x v="0"/>
    <n v="11.4"/>
    <x v="146"/>
    <x v="8"/>
    <n v="0.5"/>
    <x v="58"/>
  </r>
  <r>
    <n v="2023"/>
    <n v="104361"/>
    <n v="800265"/>
    <s v="University of Southern California (USC) - University Park Campus (UPC)"/>
    <x v="0"/>
    <n v="611310"/>
    <s v="Colleges, Universities, and Professional Schools"/>
    <s v="McClintock W 34th Vhilds Street, Los Angeles, CA 90089"/>
    <s v="Los Angeles"/>
    <s v="California"/>
    <n v="90089"/>
    <n v="34.021000000000001"/>
    <n v="-118.285"/>
    <s v="CA06037222700"/>
    <s v="Los Angeles"/>
    <s v="South Coast AQMD"/>
    <s v="South Coast"/>
    <x v="1"/>
    <n v="18081"/>
    <n v="18081"/>
    <n v="0"/>
    <n v="18062"/>
    <n v="0.34"/>
    <n v="0.03"/>
    <x v="0"/>
    <n v="4"/>
    <x v="173"/>
    <x v="8"/>
    <n v="1.4"/>
    <x v="71"/>
  </r>
  <r>
    <n v="2023"/>
    <n v="104362"/>
    <n v="24"/>
    <s v="California Polytechnic State University"/>
    <x v="0"/>
    <n v="611310"/>
    <s v="Colleges, Universities, and Professional Schools"/>
    <s v="1 Grand Ave Building 80, San Luis Obispo, CA 93407"/>
    <s v="San Luis Obispo"/>
    <s v="California"/>
    <n v="93407"/>
    <n v="35.301000000000002"/>
    <n v="-120.658"/>
    <s v="CA06079010901"/>
    <s v="San Luis Obispo"/>
    <s v="San Luis Obispo County APCD"/>
    <s v="South Central Coast"/>
    <x v="1"/>
    <n v="13311"/>
    <n v="13311"/>
    <n v="0"/>
    <n v="13298"/>
    <n v="0.25"/>
    <n v="0.03"/>
    <x v="0"/>
    <n v="0.9"/>
    <x v="77"/>
    <x v="78"/>
    <n v="0.9"/>
    <x v="20"/>
  </r>
  <r>
    <n v="2023"/>
    <n v="104363"/>
    <n v="10966"/>
    <s v="Weber Metals"/>
    <x v="0"/>
    <n v="332112"/>
    <s v="Nonferrous Forging"/>
    <s v="16706 Garfield Ave, Paramount, CA 90723"/>
    <s v="Paramount"/>
    <s v="California"/>
    <n v="90723"/>
    <n v="33.883000000000003"/>
    <n v="-118.166"/>
    <s v="CA06037553802"/>
    <s v="Los Angeles"/>
    <s v="South Coast AQMD"/>
    <s v="South Coast"/>
    <x v="1"/>
    <n v="16398"/>
    <n v="16398"/>
    <n v="0"/>
    <n v="16381"/>
    <n v="0.31"/>
    <n v="0.03"/>
    <x v="0"/>
    <n v="2.8"/>
    <x v="146"/>
    <x v="8"/>
    <n v="4"/>
    <x v="0"/>
  </r>
  <r>
    <n v="2023"/>
    <n v="104364"/>
    <n v="8132"/>
    <s v="GH Camarillo, LLC"/>
    <x v="2"/>
    <n v="111419"/>
    <s v="Other Food Crops Grown Under Cover"/>
    <s v="645 W. Laguna Rd., Camarillo, CA 93012"/>
    <s v="Camarillo"/>
    <s v="California"/>
    <n v="93012"/>
    <n v="34.18"/>
    <n v="-119.083"/>
    <s v="CA06111005600"/>
    <s v="Ventura"/>
    <s v="Ventura County APCD"/>
    <s v="South Central Coast"/>
    <x v="1"/>
    <n v="33231"/>
    <n v="33231"/>
    <n v="0"/>
    <n v="33196"/>
    <n v="0.63"/>
    <n v="0.06"/>
    <x v="0"/>
    <n v="0.9"/>
    <x v="181"/>
    <x v="21"/>
    <n v="2.6"/>
    <x v="115"/>
  </r>
  <r>
    <n v="2023"/>
    <n v="104367"/>
    <m/>
    <s v="San Francisco International Airport (SFO)"/>
    <x v="0"/>
    <n v="481111"/>
    <s v="Scheduled Passenger Air Transportation"/>
    <s v="P.O. Box 8097, San Francisco, CA 94128"/>
    <s v="San Francisco"/>
    <s v="California"/>
    <n v="94128"/>
    <n v="37.624000000000002"/>
    <n v="-122.38200000000001"/>
    <s v="CA06081984300"/>
    <s v="San Mateo"/>
    <s v="Bay Area AQMD"/>
    <s v="San Francisco Bay Area"/>
    <x v="1"/>
    <n v="17150"/>
    <n v="17150"/>
    <n v="0"/>
    <n v="17132"/>
    <n v="0.32"/>
    <n v="0.03"/>
    <x v="0"/>
    <n v="0"/>
    <x v="23"/>
    <x v="11"/>
    <n v="0"/>
    <x v="17"/>
  </r>
  <r>
    <n v="2023"/>
    <n v="104368"/>
    <n v="11245"/>
    <s v="Hoag Memorial Hospital Presbyterian"/>
    <x v="0"/>
    <n v="622110"/>
    <s v="General Medical and Surgical Hospitals"/>
    <s v="1HOAG DR, NEWPORT BEACH, CA 92663-4162"/>
    <s v="Newport Beach"/>
    <s v="California"/>
    <n v="92663"/>
    <n v="33.622999999999998"/>
    <n v="-117.93"/>
    <s v="CA06059063603"/>
    <s v="Orange"/>
    <s v="South Coast AQMD"/>
    <s v="South Coast"/>
    <x v="1"/>
    <n v="20724"/>
    <n v="20724"/>
    <n v="0"/>
    <n v="20703"/>
    <n v="0.39"/>
    <n v="0.04"/>
    <x v="0"/>
    <n v="1.2"/>
    <x v="182"/>
    <x v="8"/>
    <n v="1.7"/>
    <x v="71"/>
  </r>
  <r>
    <n v="2023"/>
    <n v="104369"/>
    <n v="18294"/>
    <s v="Northrop Grumman Systems Corp. - El Segundo"/>
    <x v="0"/>
    <n v="336411"/>
    <s v="Aircraft Manufacturing"/>
    <s v="One Hornet Way, PA12/W2, El Segundo, CA 90245"/>
    <s v="El Segundo"/>
    <s v="California"/>
    <n v="90245"/>
    <n v="33.924999999999997"/>
    <n v="-118.381"/>
    <s v="CA06037980013"/>
    <s v="Los Angeles"/>
    <s v="South Coast AQMD"/>
    <s v="South Coast"/>
    <x v="1"/>
    <n v="8993"/>
    <n v="8993"/>
    <n v="0"/>
    <n v="8983"/>
    <n v="0.17"/>
    <n v="0.02"/>
    <x v="0"/>
    <n v="16.7"/>
    <x v="183"/>
    <x v="8"/>
    <n v="0.8"/>
    <x v="104"/>
  </r>
  <r>
    <n v="2023"/>
    <n v="104370"/>
    <n v="126498"/>
    <s v="Steelscape Inc."/>
    <x v="0"/>
    <n v="332812"/>
    <s v="Metal Coating, Engraving (except Jewelry and Silverware), and Allied Services to Manufacturers"/>
    <s v="11200 Arrow Route, Rancho Cucamonga, CA 90730"/>
    <s v="Rancho Cucamonga"/>
    <s v="California"/>
    <n v="90730"/>
    <n v="34.1"/>
    <n v="-117.56"/>
    <s v="CA06071002110"/>
    <s v="San Bernardino"/>
    <s v="South Coast AQMD"/>
    <s v="South Coast"/>
    <x v="1"/>
    <n v="17523"/>
    <n v="17523"/>
    <n v="0"/>
    <n v="17505"/>
    <n v="0.33"/>
    <n v="0.03"/>
    <x v="0"/>
    <n v="2.9"/>
    <x v="184"/>
    <x v="8"/>
    <n v="1.2"/>
    <x v="11"/>
  </r>
  <r>
    <n v="2023"/>
    <n v="104372"/>
    <n v="2795"/>
    <s v="University of California Santa Barbara"/>
    <x v="0"/>
    <n v="611310"/>
    <s v="Colleges, Universities, and Professional Schools"/>
    <s v="University of California, Santa Barbara, Santa Barbara, CA 93106"/>
    <s v="Santa Barbara"/>
    <s v="California"/>
    <n v="93106"/>
    <n v="34.414000000000001"/>
    <n v="-119.845"/>
    <s v="CA06083002922"/>
    <s v="Santa Barbara"/>
    <s v="Santa Barbara County APCD"/>
    <s v="South Central Coast"/>
    <x v="0"/>
    <n v="17846"/>
    <n v="17846"/>
    <n v="0"/>
    <n v="17827"/>
    <n v="0.34"/>
    <n v="0.03"/>
    <x v="163"/>
    <n v="2.4"/>
    <x v="57"/>
    <x v="21"/>
    <n v="3"/>
    <x v="40"/>
  </r>
  <r>
    <n v="2023"/>
    <n v="104374"/>
    <n v="3671"/>
    <s v="Eisenhower Medical Center"/>
    <x v="0"/>
    <n v="622110"/>
    <s v="General Medical and Surgical Hospitals"/>
    <s v="39000 Bob Hope Drive, Rancho Mirage, CA 92270"/>
    <s v="Rancho Mirage"/>
    <s v="California"/>
    <n v="92270"/>
    <n v="33.762"/>
    <n v="-116.40600000000001"/>
    <s v="CA06065044918"/>
    <s v="Riverside"/>
    <s v="South Coast AQMD"/>
    <s v="South Coast"/>
    <x v="1"/>
    <n v="19107"/>
    <n v="19107"/>
    <n v="0"/>
    <n v="19088"/>
    <n v="0.36"/>
    <n v="0.04"/>
    <x v="0"/>
    <n v="4.8"/>
    <x v="45"/>
    <x v="8"/>
    <n v="1.9"/>
    <x v="8"/>
  </r>
  <r>
    <n v="2023"/>
    <n v="104376"/>
    <n v="16338"/>
    <s v="Kaiser Aluminum Fabricated Products, LLC"/>
    <x v="0"/>
    <n v="331314"/>
    <s v="Secondary Smelting and Alloying of Aluminum"/>
    <s v="6250 E. Bandini Blvd., Los Angeles, CA 90040-3168"/>
    <s v="Los Angeles"/>
    <s v="California"/>
    <n v="90040"/>
    <n v="33.988"/>
    <n v="-118.148"/>
    <s v="CA06037532304"/>
    <s v="Los Angeles"/>
    <s v="South Coast AQMD"/>
    <s v="South Coast"/>
    <x v="1"/>
    <n v="14441"/>
    <n v="14441"/>
    <n v="0"/>
    <n v="14426"/>
    <n v="0.27"/>
    <n v="0.03"/>
    <x v="0"/>
    <n v="2"/>
    <x v="141"/>
    <x v="8"/>
    <n v="5.3"/>
    <x v="131"/>
  </r>
  <r>
    <n v="2023"/>
    <n v="104377"/>
    <n v="800353"/>
    <s v="Huntington Memorial Hospital"/>
    <x v="0"/>
    <n v="622110"/>
    <s v="General Medical and Surgical Hospitals"/>
    <s v="100 West California Blvd., Pasadena, CA 91105"/>
    <s v="Pasadena"/>
    <s v="California"/>
    <n v="91105"/>
    <n v="34.134"/>
    <n v="-118.15300000000001"/>
    <s v="CA06037463900"/>
    <s v="Los Angeles"/>
    <s v="South Coast AQMD"/>
    <s v="South Coast"/>
    <x v="1"/>
    <n v="15778"/>
    <n v="15778"/>
    <n v="0"/>
    <n v="15762"/>
    <n v="0.3"/>
    <n v="0.03"/>
    <x v="0"/>
    <n v="1.2"/>
    <x v="185"/>
    <x v="8"/>
    <n v="1.2"/>
    <x v="11"/>
  </r>
  <r>
    <n v="2023"/>
    <n v="104378"/>
    <n v="3093"/>
    <s v="Olive View Medical Center, Los Angeles County Department of Health Services"/>
    <x v="0"/>
    <n v="622110"/>
    <s v="General Medical and Surgical Hospitals"/>
    <s v="Facilities 14445 Olive View Drive, Sylmar, CA 91342"/>
    <s v="Sylmar"/>
    <s v="California"/>
    <n v="91342"/>
    <n v="34.326000000000001"/>
    <n v="-118.452"/>
    <s v="CA06037106010"/>
    <s v="Los Angeles"/>
    <s v="South Coast AQMD"/>
    <s v="South Coast"/>
    <x v="1"/>
    <n v="15423"/>
    <n v="15423"/>
    <n v="0"/>
    <n v="15407"/>
    <n v="0.28999999999999998"/>
    <n v="0.03"/>
    <x v="0"/>
    <n v="2.8"/>
    <x v="186"/>
    <x v="19"/>
    <n v="3.8"/>
    <x v="37"/>
  </r>
  <r>
    <n v="2023"/>
    <n v="104379"/>
    <n v="2041"/>
    <s v="Azteca Milling, L.P."/>
    <x v="0"/>
    <n v="311211"/>
    <s v="Flour Milling"/>
    <s v="23865 Ave 18, Madera, CT 93638"/>
    <s v="Madera"/>
    <s v="California"/>
    <n v="93638"/>
    <n v="37.011000000000003"/>
    <n v="-120.11199999999999"/>
    <s v="CA06039000506"/>
    <s v="Madera"/>
    <s v="San Joaquin Valley APCD"/>
    <s v="San Joaquin Valley"/>
    <x v="1"/>
    <n v="13029"/>
    <n v="13029"/>
    <n v="0"/>
    <n v="13015"/>
    <n v="0.25"/>
    <n v="0.03"/>
    <x v="0"/>
    <n v="0.5"/>
    <x v="187"/>
    <x v="19"/>
    <n v="14.8"/>
    <x v="28"/>
  </r>
  <r>
    <n v="2023"/>
    <n v="104380"/>
    <n v="3974"/>
    <s v="San Francisco General Hospital"/>
    <x v="0"/>
    <n v="622110"/>
    <s v="General Medical and Surgical Hospitals"/>
    <s v="1001 Potrero Ave, San Francisco, CA 94110"/>
    <s v="San Francisco"/>
    <s v="California"/>
    <n v="94110"/>
    <n v="37.756"/>
    <n v="-122.405"/>
    <s v="CA06075022802"/>
    <s v="San Francisco"/>
    <s v="Bay Area AQMD"/>
    <s v="San Francisco Bay Area"/>
    <x v="1"/>
    <n v="10809"/>
    <n v="10809"/>
    <n v="0"/>
    <n v="10798"/>
    <n v="0.2"/>
    <n v="0.02"/>
    <x v="0"/>
    <n v="1"/>
    <x v="188"/>
    <x v="8"/>
    <n v="0.7"/>
    <x v="104"/>
  </r>
  <r>
    <n v="2023"/>
    <n v="104383"/>
    <n v="45746"/>
    <s v="PABCO Paper"/>
    <x v="0"/>
    <n v="322121"/>
    <s v="Paper (except Newsprint) Mills"/>
    <s v="4460 Pacific Blvd, Vernon, CA 90058"/>
    <s v="Vernon"/>
    <s v="California"/>
    <n v="90058"/>
    <n v="34.003999999999998"/>
    <n v="-118.229"/>
    <s v="CA06037532400"/>
    <s v="Los Angeles"/>
    <s v="South Coast AQMD"/>
    <s v="South Coast"/>
    <x v="1"/>
    <n v="16229"/>
    <n v="16229"/>
    <n v="0"/>
    <n v="16218"/>
    <n v="0.26"/>
    <n v="0.02"/>
    <x v="0"/>
    <n v="12.6"/>
    <x v="158"/>
    <x v="8"/>
    <n v="3.8"/>
    <x v="40"/>
  </r>
  <r>
    <n v="2023"/>
    <n v="104384"/>
    <n v="100808"/>
    <s v="Maruchan, Inc. - Laguna Canyon"/>
    <x v="0"/>
    <n v="311824"/>
    <s v="Dry Pasta, Dough, and Flour Mixes Manufacturing from Purchased Flour"/>
    <s v="15800 Laguna Canyon Road, Irvine, CA 92618"/>
    <s v="Irvine"/>
    <s v="California"/>
    <n v="92618"/>
    <n v="33.661999999999999"/>
    <n v="-117.76300000000001"/>
    <s v="CA06059052518"/>
    <s v="Orange"/>
    <s v="South Coast AQMD"/>
    <s v="South Coast"/>
    <x v="1"/>
    <n v="23280"/>
    <n v="23280"/>
    <n v="0"/>
    <n v="23256"/>
    <n v="0.44"/>
    <n v="0.04"/>
    <x v="0"/>
    <n v="7.2"/>
    <x v="103"/>
    <x v="8"/>
    <n v="3.8"/>
    <x v="98"/>
  </r>
  <r>
    <n v="2023"/>
    <n v="104391"/>
    <n v="6763"/>
    <s v="Rady Children's Hospital San Diego"/>
    <x v="0"/>
    <n v="622310"/>
    <s v="Specialty (except Psychiatric and Substance Abuse) Hospitals"/>
    <s v="3020 Childrens Way, San Diego, CA 92123"/>
    <s v="San Diego"/>
    <s v="California"/>
    <n v="92123"/>
    <n v="32.798000000000002"/>
    <n v="-117.151"/>
    <s v="CA06073008702"/>
    <s v="San Diego"/>
    <s v="San Diego County APCD"/>
    <s v="San Diego"/>
    <x v="1"/>
    <n v="22293"/>
    <n v="22293"/>
    <n v="0"/>
    <n v="22270"/>
    <n v="0.42"/>
    <n v="0.04"/>
    <x v="0"/>
    <n v="0.2"/>
    <x v="162"/>
    <x v="8"/>
    <n v="3.7"/>
    <x v="27"/>
  </r>
  <r>
    <n v="2023"/>
    <n v="104392"/>
    <n v="77"/>
    <s v="Wild Goose Storage LLC"/>
    <x v="5"/>
    <n v="486210"/>
    <s v="Pipeline Transportation of Natural Gas"/>
    <s v="2780 West Liberty Rd., Grildey, CA 95948"/>
    <s v="Grildey"/>
    <s v="California"/>
    <n v="95948"/>
    <n v="39.347999999999999"/>
    <n v="-121.79900000000001"/>
    <s v="CA06007003502"/>
    <s v="Butte"/>
    <s v="Butte County AQMD"/>
    <s v="Sacramento Valley"/>
    <x v="0"/>
    <n v="44444"/>
    <n v="44444"/>
    <n v="0"/>
    <n v="41427"/>
    <n v="119.76"/>
    <n v="0.08"/>
    <x v="164"/>
    <n v="4.2"/>
    <x v="189"/>
    <x v="21"/>
    <n v="0.1"/>
    <x v="17"/>
  </r>
  <r>
    <n v="2023"/>
    <n v="104393"/>
    <n v="18885"/>
    <s v="Children's Hospital Los Angeles"/>
    <x v="0"/>
    <n v="622110"/>
    <s v="General Medical and Surgical Hospitals"/>
    <s v="4650 Sunset Blvd., Los Angeles, CA 90027"/>
    <s v="Los Angeles"/>
    <s v="California"/>
    <n v="90027"/>
    <n v="34.097999999999999"/>
    <n v="-118.29"/>
    <s v="CA06037191302"/>
    <s v="Los Angeles"/>
    <s v="South Coast AQMD"/>
    <s v="South Coast"/>
    <x v="1"/>
    <n v="12606"/>
    <n v="12606"/>
    <n v="0"/>
    <n v="12593"/>
    <n v="0.24"/>
    <n v="0.02"/>
    <x v="0"/>
    <n v="0.7"/>
    <x v="167"/>
    <x v="8"/>
    <n v="2.9"/>
    <x v="51"/>
  </r>
  <r>
    <n v="2023"/>
    <n v="104394"/>
    <n v="136"/>
    <s v="Press Forge Co"/>
    <x v="0"/>
    <n v="332112"/>
    <s v="Nonferrous Forging"/>
    <s v="7700 Jackson Street, Paramount, CA 90723"/>
    <s v="Paramount"/>
    <s v="California"/>
    <n v="90723"/>
    <n v="33.884999999999998"/>
    <n v="-118.16500000000001"/>
    <s v="CA06037553802"/>
    <s v="Los Angeles"/>
    <s v="South Coast AQMD"/>
    <s v="South Coast"/>
    <x v="1"/>
    <n v="21948"/>
    <n v="21948"/>
    <n v="0"/>
    <n v="21926"/>
    <n v="0.41"/>
    <n v="0.04"/>
    <x v="0"/>
    <n v="2.8"/>
    <x v="190"/>
    <x v="8"/>
    <n v="2.8"/>
    <x v="22"/>
  </r>
  <r>
    <n v="2023"/>
    <n v="104396"/>
    <n v="817"/>
    <s v="Saputo Cheese USA Inc.- Levin"/>
    <x v="0"/>
    <n v="311513"/>
    <s v="Cheese Manufacturing"/>
    <s v="901 Levin Avenue, Tulare, CA 93274"/>
    <s v="Tulare"/>
    <s v="California"/>
    <n v="93274"/>
    <n v="36.189"/>
    <n v="-119.345"/>
    <s v="CA06107003002"/>
    <s v="Tulare"/>
    <s v="San Joaquin Valley APCD"/>
    <s v="San Joaquin Valley"/>
    <x v="1"/>
    <n v="13243"/>
    <n v="13243"/>
    <n v="0"/>
    <n v="13230"/>
    <n v="0.25"/>
    <n v="0.03"/>
    <x v="0"/>
    <n v="0.3"/>
    <x v="135"/>
    <x v="21"/>
    <n v="0.7"/>
    <x v="104"/>
  </r>
  <r>
    <n v="2023"/>
    <n v="104397"/>
    <n v="94872"/>
    <s v="Mira Loma Metal Container Corp"/>
    <x v="0"/>
    <n v="332431"/>
    <s v="Metal Can Manufacturing"/>
    <s v="10980 Inland Ave, Mira Loma, CA 91752"/>
    <s v="Mira Loma"/>
    <s v="California"/>
    <n v="91752"/>
    <n v="34.030999999999999"/>
    <n v="-117.52200000000001"/>
    <s v="CA06065040503"/>
    <s v="Riverside"/>
    <s v="South Coast AQMD"/>
    <s v="South Coast"/>
    <x v="1"/>
    <n v="9245"/>
    <n v="9245"/>
    <n v="0"/>
    <n v="9236"/>
    <n v="0.17"/>
    <n v="0.02"/>
    <x v="0"/>
    <n v="94.7"/>
    <x v="191"/>
    <x v="8"/>
    <n v="20.100000000000001"/>
    <x v="4"/>
  </r>
  <r>
    <n v="2023"/>
    <n v="104398"/>
    <n v="1245"/>
    <s v="San Benito Foods"/>
    <x v="0"/>
    <n v="311421"/>
    <s v="Fruit and Vegetable Canning"/>
    <s v="110 Hawkins Street, Hollister, CA 95023"/>
    <s v="Hollister"/>
    <s v="California"/>
    <n v="95023"/>
    <n v="36.847000000000001"/>
    <n v="-121.401"/>
    <s v="CA06069000400"/>
    <s v="San Benito"/>
    <s v="Monterey Bay ARD"/>
    <s v="North Central Coast"/>
    <x v="1"/>
    <n v="15433"/>
    <n v="15433"/>
    <n v="0"/>
    <n v="15417"/>
    <n v="0.28999999999999998"/>
    <n v="0.03"/>
    <x v="0"/>
    <n v="0.7"/>
    <x v="177"/>
    <x v="8"/>
    <n v="1.1000000000000001"/>
    <x v="18"/>
  </r>
  <r>
    <n v="2023"/>
    <n v="104405"/>
    <n v="550"/>
    <s v="NASA Ames Research Center"/>
    <x v="0"/>
    <n v="927110"/>
    <s v="Space Research and Technology"/>
    <s v="P.O.Box 1, Mailstop 204-15, Moffett Field, CA 94035"/>
    <s v="Moffett Field"/>
    <s v="California"/>
    <n v="94035"/>
    <n v="37.417999999999999"/>
    <n v="-122.053"/>
    <s v="CA06085504700"/>
    <s v="Santa Clara"/>
    <s v="Bay Area AQMD"/>
    <s v="San Francisco Bay Area"/>
    <x v="1"/>
    <n v="13296"/>
    <n v="13296"/>
    <n v="0"/>
    <n v="13283"/>
    <n v="0.25"/>
    <n v="0.03"/>
    <x v="0"/>
    <n v="0.9"/>
    <x v="25"/>
    <x v="11"/>
    <n v="3.2"/>
    <x v="0"/>
  </r>
  <r>
    <n v="2023"/>
    <n v="104408"/>
    <n v="2341"/>
    <s v="Naval Air Station Lemoore"/>
    <x v="0"/>
    <n v="928110"/>
    <s v="National Security"/>
    <s v="750 Enterprise Ave. Rm. 107, Lemoore, CA 93246"/>
    <s v="Lemoore"/>
    <s v="California"/>
    <n v="93246"/>
    <n v="36.262"/>
    <n v="-119.90600000000001"/>
    <s v="CA06031000300"/>
    <s v="Kings"/>
    <s v="San Joaquin Valley APCD"/>
    <s v="San Joaquin Valley"/>
    <x v="1"/>
    <n v="9467"/>
    <n v="9467"/>
    <n v="0"/>
    <n v="9440"/>
    <n v="0.34"/>
    <n v="0.06"/>
    <x v="0"/>
    <n v="24"/>
    <x v="192"/>
    <x v="82"/>
    <n v="9.6"/>
    <x v="132"/>
  </r>
  <r>
    <n v="2023"/>
    <n v="104409"/>
    <n v="61"/>
    <s v="State of California Central Utility Plant - General Services"/>
    <x v="0"/>
    <n v="221330"/>
    <s v="Steam and Air-Conditioning Supply"/>
    <s v="625 Q Street, Sacramento, CA 95811"/>
    <s v="Sacramento"/>
    <s v="California"/>
    <n v="95811"/>
    <n v="38.573999999999998"/>
    <n v="-121.501"/>
    <s v="CA06067000800"/>
    <s v="Sacramento"/>
    <s v="Sacramento Metropolitan AQMD"/>
    <s v="Sacramento Valley"/>
    <x v="1"/>
    <n v="12313"/>
    <n v="12313"/>
    <n v="0"/>
    <n v="12300"/>
    <n v="0.23"/>
    <n v="0.02"/>
    <x v="0"/>
    <n v="0.6"/>
    <x v="13"/>
    <x v="8"/>
    <n v="0.9"/>
    <x v="20"/>
  </r>
  <r>
    <n v="2023"/>
    <n v="104410"/>
    <n v="1363"/>
    <s v="California Dairies, Inc. Los Banos"/>
    <x v="0"/>
    <n v="311514"/>
    <s v="Dry, Condensed, and Evaporated Dairy Product Manufacturing"/>
    <s v="P.O. Box 2198, 1155 E. Pacheco Blvd., Los Banos, CA 93635-2198"/>
    <s v="Los Banos"/>
    <s v="California"/>
    <n v="93635"/>
    <n v="37.055999999999997"/>
    <n v="-120.83799999999999"/>
    <s v="CA06047002301"/>
    <s v="Merced"/>
    <s v="San Joaquin Valley APCD"/>
    <s v="San Joaquin Valley"/>
    <x v="1"/>
    <n v="13331"/>
    <n v="13331"/>
    <n v="0"/>
    <n v="13317"/>
    <n v="0.25"/>
    <n v="0.03"/>
    <x v="0"/>
    <n v="0.6"/>
    <x v="162"/>
    <x v="40"/>
    <n v="3.8"/>
    <x v="89"/>
  </r>
  <r>
    <n v="2023"/>
    <n v="104415"/>
    <n v="706"/>
    <s v="Gold Bond Building Products, LLC - Richmond"/>
    <x v="0"/>
    <n v="327420"/>
    <s v="Gypsum Product Manufacturing"/>
    <s v="1040 Canal Blvd, Richmond, CA 94804"/>
    <s v="Richmond"/>
    <s v="California"/>
    <n v="94804"/>
    <n v="37.917999999999999"/>
    <n v="-122.372"/>
    <s v="CA06013378000"/>
    <s v="Contra Costa"/>
    <s v="Bay Area AQMD"/>
    <s v="San Francisco Bay Area"/>
    <x v="0"/>
    <n v="28186"/>
    <n v="28186"/>
    <n v="0"/>
    <n v="28157"/>
    <n v="0.53"/>
    <n v="0.05"/>
    <x v="165"/>
    <n v="9.6999999999999993"/>
    <x v="25"/>
    <x v="17"/>
    <n v="1.8"/>
    <x v="60"/>
  </r>
  <r>
    <n v="2023"/>
    <n v="104419"/>
    <n v="230"/>
    <s v="PABCO Clay Products, LLC, dba Gladding McBean"/>
    <x v="0"/>
    <n v="327123"/>
    <s v="Other Structural Clay Product Manufacturing"/>
    <s v="601 7th Street, Lincoln, CA 95648"/>
    <s v="Lincoln"/>
    <s v="California"/>
    <n v="95648"/>
    <n v="38.893999999999998"/>
    <n v="-121.292"/>
    <s v="CA06061021401"/>
    <s v="Placer"/>
    <s v="Placer County APCD"/>
    <s v="Sacramento Valley"/>
    <x v="1"/>
    <n v="11217"/>
    <n v="11217"/>
    <n v="0"/>
    <n v="11206"/>
    <n v="0.21"/>
    <n v="0.02"/>
    <x v="0"/>
    <n v="0"/>
    <x v="23"/>
    <x v="11"/>
    <n v="0.2"/>
    <x v="48"/>
  </r>
  <r>
    <n v="2023"/>
    <n v="104420"/>
    <n v="141473"/>
    <s v="Nong Shim America, Inc."/>
    <x v="0"/>
    <n v="493190"/>
    <s v="Other Warehousing and Storage"/>
    <s v="12155 6th Street, Rancho Cucamonga, CA 91730"/>
    <s v="Rancho Cucamonga"/>
    <s v="California"/>
    <n v="91730"/>
    <n v="34.085999999999999"/>
    <n v="-117.54"/>
    <s v="CA06071002207"/>
    <s v="San Bernardino"/>
    <s v="South Coast AQMD"/>
    <s v="South Coast"/>
    <x v="1"/>
    <n v="17101"/>
    <n v="17101"/>
    <n v="0"/>
    <n v="17084"/>
    <n v="0.32"/>
    <n v="0.03"/>
    <x v="0"/>
    <n v="4.9000000000000004"/>
    <x v="44"/>
    <x v="8"/>
    <n v="3"/>
    <x v="64"/>
  </r>
  <r>
    <n v="2023"/>
    <n v="104421"/>
    <n v="19931"/>
    <s v="K2 Pure Solutions, Inc"/>
    <x v="0"/>
    <n v="325180"/>
    <s v="Other Basic Inorganic Chemical Manufacturing"/>
    <s v="950 Loveridge Road, Pittsburg, CA 94565"/>
    <s v="Pittsburg"/>
    <s v="California"/>
    <n v="94565"/>
    <n v="38.018999999999998"/>
    <n v="-121.858"/>
    <s v="CA06013309000"/>
    <s v="Contra Costa"/>
    <s v="Bay Area AQMD"/>
    <s v="San Francisco Bay Area"/>
    <x v="1"/>
    <n v="11820"/>
    <n v="11820"/>
    <n v="0"/>
    <n v="11808"/>
    <n v="0.22"/>
    <n v="0.02"/>
    <x v="0"/>
    <n v="0.7"/>
    <x v="13"/>
    <x v="8"/>
    <n v="4.9000000000000004"/>
    <x v="7"/>
  </r>
  <r>
    <n v="2023"/>
    <n v="104423"/>
    <n v="27"/>
    <s v="Procter &amp; Gamble Manufacturing Co. - Sacramento Plant"/>
    <x v="0"/>
    <n v="325199"/>
    <s v="All Other Basic Organic Chemical Manufacturing"/>
    <s v="8201 Fruitridge Road, Sacramento, CA 95826"/>
    <s v="Sacramento"/>
    <s v="California"/>
    <n v="95826"/>
    <n v="38.527999999999999"/>
    <n v="-121.402"/>
    <s v="CA06067005205"/>
    <s v="Sacramento"/>
    <s v="Sacramento Metropolitan AQMD"/>
    <s v="Sacramento Valley"/>
    <x v="0"/>
    <n v="20376"/>
    <n v="20376"/>
    <n v="0"/>
    <n v="20355"/>
    <n v="0.38"/>
    <n v="0.04"/>
    <x v="166"/>
    <n v="8.1999999999999993"/>
    <x v="53"/>
    <x v="8"/>
    <n v="2.2000000000000002"/>
    <x v="122"/>
  </r>
  <r>
    <n v="2023"/>
    <n v="104424"/>
    <n v="4238"/>
    <s v="Lodi Compressor Station"/>
    <x v="5"/>
    <n v="486210"/>
    <s v="Pipeline Transportation of Natural Gas"/>
    <s v="23265 N State Route 99, Acampo, CA 95220"/>
    <s v="Acampo"/>
    <s v="California"/>
    <n v="95220"/>
    <n v="38.197000000000003"/>
    <n v="-121.271"/>
    <s v="CA06077004600"/>
    <s v="San Joaquin"/>
    <s v="San Joaquin Valley APCD"/>
    <s v="San Joaquin Valley"/>
    <x v="1"/>
    <n v="10721"/>
    <n v="10721"/>
    <n v="0"/>
    <n v="9880"/>
    <n v="33.46"/>
    <n v="0.02"/>
    <x v="0"/>
    <n v="0.8"/>
    <x v="31"/>
    <x v="8"/>
    <n v="1.8"/>
    <x v="8"/>
  </r>
  <r>
    <n v="2023"/>
    <n v="104425"/>
    <n v="17657"/>
    <s v="Kirby Hills Compressor Station"/>
    <x v="5"/>
    <n v="486210"/>
    <s v="Pipeline Transportation of Natural Gas"/>
    <s v="2655 Shiloh Road, Suisun City, CA 94585"/>
    <s v="Suisun City"/>
    <s v="California"/>
    <n v="94585"/>
    <n v="38.159999999999997"/>
    <n v="-121.90600000000001"/>
    <s v="CA06095253500"/>
    <s v="Solano"/>
    <s v="Bay Area AQMD"/>
    <s v="San Francisco Bay Area"/>
    <x v="1"/>
    <n v="16912"/>
    <n v="16912"/>
    <n v="0"/>
    <n v="13220"/>
    <n v="147.37"/>
    <n v="0.03"/>
    <x v="0"/>
    <n v="3.7"/>
    <x v="44"/>
    <x v="8"/>
    <n v="2.2000000000000002"/>
    <x v="49"/>
  </r>
  <r>
    <n v="2023"/>
    <n v="104426"/>
    <n v="2658"/>
    <s v="Holmes Western Oil Corporation"/>
    <x v="5"/>
    <n v="211111"/>
    <s v="Crude Petroleum and Natural Gas Extraction"/>
    <s v="4300 Midway Rd., Taft, CA 93268"/>
    <s v="Taft"/>
    <s v="California"/>
    <n v="93268"/>
    <n v="35.180999999999997"/>
    <n v="-119.461"/>
    <s v="CA06029003400"/>
    <s v="Kern"/>
    <s v="San Joaquin Valley APCD"/>
    <s v="San Joaquin Valley"/>
    <x v="0"/>
    <n v="35972"/>
    <n v="35972"/>
    <n v="0"/>
    <n v="34562"/>
    <n v="55.62"/>
    <n v="0.06"/>
    <x v="167"/>
    <n v="8.1999999999999993"/>
    <x v="59"/>
    <x v="27"/>
    <n v="0.8"/>
    <x v="127"/>
  </r>
  <r>
    <n v="2023"/>
    <n v="104433"/>
    <n v="558"/>
    <s v="Diamond Pet Food Processors of California, LLC - Lathrop"/>
    <x v="0"/>
    <n v="311111"/>
    <s v="Dog and Cat Food Manufacturing"/>
    <s v="250 East Roth Road, Lathrop, CA 95330"/>
    <s v="Lathrop"/>
    <s v="California"/>
    <n v="95330"/>
    <n v="37.854999999999997"/>
    <n v="-121.277"/>
    <s v="CA06077005119"/>
    <s v="San Joaquin"/>
    <s v="San Joaquin Valley APCD"/>
    <s v="San Joaquin Valley"/>
    <x v="1"/>
    <n v="12651"/>
    <n v="12651"/>
    <n v="0"/>
    <n v="12638"/>
    <n v="0.24"/>
    <n v="0.02"/>
    <x v="0"/>
    <n v="1.7"/>
    <x v="193"/>
    <x v="40"/>
    <n v="8.3000000000000007"/>
    <x v="11"/>
  </r>
  <r>
    <n v="2023"/>
    <n v="104436"/>
    <n v="6324"/>
    <s v="Saint Bernardine Medical Center"/>
    <x v="0"/>
    <n v="622110"/>
    <s v="General Medical and Surgical Hospitals"/>
    <s v="2101 N Waterman ave, San Bernardino, CA 92404"/>
    <s v="San Bernardino"/>
    <s v="California"/>
    <n v="92404"/>
    <n v="34.134999999999998"/>
    <n v="-117.277"/>
    <s v="CA06071006301"/>
    <s v="San Bernardino"/>
    <s v="South Coast AQMD"/>
    <s v="South Coast"/>
    <x v="1"/>
    <n v="8759"/>
    <n v="8759"/>
    <n v="0"/>
    <n v="8749"/>
    <n v="0.17"/>
    <n v="0.02"/>
    <x v="0"/>
    <n v="1"/>
    <x v="31"/>
    <x v="11"/>
    <n v="0.7"/>
    <x v="104"/>
  </r>
  <r>
    <n v="2023"/>
    <n v="104444"/>
    <n v="800393"/>
    <s v="Valero Wilmington Asphalt Plant"/>
    <x v="4"/>
    <n v="324110"/>
    <s v="Petroleum Refineries"/>
    <s v="1651 Alameda Street, Wilmington, CA 90744"/>
    <s v="Wilmington"/>
    <s v="California"/>
    <n v="90744"/>
    <n v="33.798000000000002"/>
    <n v="-118.239"/>
    <s v="CA06037294120"/>
    <s v="Los Angeles"/>
    <s v="South Coast AQMD"/>
    <s v="South Coast"/>
    <x v="1"/>
    <n v="16197"/>
    <n v="16197"/>
    <n v="0"/>
    <n v="15999"/>
    <n v="7.04"/>
    <n v="7.0000000000000007E-2"/>
    <x v="0"/>
    <n v="5.8"/>
    <x v="101"/>
    <x v="40"/>
    <n v="0.9"/>
    <x v="20"/>
  </r>
  <r>
    <n v="2023"/>
    <n v="104457"/>
    <n v="119710"/>
    <s v="Nor-Cal Beverage Company, Inc. - Anaheim"/>
    <x v="0"/>
    <n v="312111"/>
    <s v="Soft Drink Manufacturing"/>
    <s v="1226 N. Olive St., Anaheim, CA 92801"/>
    <s v="Anaheim"/>
    <s v="California"/>
    <n v="92801"/>
    <n v="33.851999999999997"/>
    <n v="-117.913"/>
    <s v="CA06059086502"/>
    <s v="Orange"/>
    <s v="South Coast AQMD"/>
    <s v="South Coast"/>
    <x v="1"/>
    <n v="15633"/>
    <n v="15633"/>
    <n v="0"/>
    <n v="15617"/>
    <n v="0.28999999999999998"/>
    <n v="0.03"/>
    <x v="0"/>
    <n v="0.8"/>
    <x v="77"/>
    <x v="8"/>
    <n v="1.1000000000000001"/>
    <x v="60"/>
  </r>
  <r>
    <n v="2023"/>
    <n v="104458"/>
    <n v="3009"/>
    <s v="Cat Canyon Resources 750 Santa Maria Basin"/>
    <x v="5"/>
    <n v="211111"/>
    <s v="Crude Petroleum and Natural Gas Extraction"/>
    <s v="6085 Cat Canyon Road, Santa Maria, CA 93454"/>
    <s v="Santa Maria"/>
    <s v="California"/>
    <n v="93454"/>
    <n v="34.817"/>
    <n v="-120.283"/>
    <s v="CA06083002006"/>
    <s v="Santa Barbara"/>
    <s v="Santa Barbara County APCD"/>
    <s v="South Central Coast"/>
    <x v="0"/>
    <n v="56761"/>
    <n v="56761"/>
    <n v="0"/>
    <n v="55881"/>
    <n v="34.01"/>
    <n v="0.1"/>
    <x v="168"/>
    <n v="88.6"/>
    <x v="187"/>
    <x v="83"/>
    <n v="3.7"/>
    <x v="27"/>
  </r>
  <r>
    <n v="2023"/>
    <n v="104460"/>
    <n v="1482"/>
    <s v="ExxonMobil LFC Facility"/>
    <x v="5"/>
    <n v="211111"/>
    <s v="Crude Petroleum and Natural Gas Extraction"/>
    <s v="12000 Calle Real, Goleta, CA 93117"/>
    <s v="Goleta"/>
    <s v="California"/>
    <n v="93117"/>
    <n v="34.484000000000002"/>
    <n v="-120.042"/>
    <s v="CA06083002932"/>
    <s v="Santa Barbara"/>
    <s v="Santa Barbara County APCD"/>
    <s v="South Central Coast"/>
    <x v="0"/>
    <n v="0"/>
    <n v="0"/>
    <n v="0"/>
    <n v="0"/>
    <n v="0"/>
    <n v="0"/>
    <x v="0"/>
    <n v="1.7"/>
    <x v="158"/>
    <x v="11"/>
    <n v="0.2"/>
    <x v="48"/>
  </r>
  <r>
    <n v="2023"/>
    <n v="104485"/>
    <n v="3187"/>
    <s v="CMO Inc"/>
    <x v="5"/>
    <n v="211111"/>
    <s v="Crude Petroleum and Natural Gas Extraction"/>
    <s v="19100 7Th Standard Rd, McKittrick, CA 93251"/>
    <s v="McKittrick"/>
    <s v="California"/>
    <n v="93251"/>
    <n v="35.442"/>
    <n v="-119.78700000000001"/>
    <s v="CA06029003304"/>
    <s v="Kern"/>
    <s v="San Joaquin Valley APCD"/>
    <s v="San Joaquin Valley"/>
    <x v="0"/>
    <n v="115"/>
    <n v="115"/>
    <n v="0"/>
    <n v="96"/>
    <n v="0.76"/>
    <n v="0"/>
    <x v="169"/>
    <n v="0.6"/>
    <x v="65"/>
    <x v="11"/>
    <n v="0"/>
    <x v="17"/>
  </r>
  <r>
    <n v="2023"/>
    <n v="104487"/>
    <n v="1"/>
    <s v="Ampine: A Division of Timber Products"/>
    <x v="0"/>
    <n v="321219"/>
    <s v="Reconstituted Wood Product Manufacturing"/>
    <s v="11300 Ridge Road, Martell, CA 95654"/>
    <s v="Martell"/>
    <s v="California"/>
    <n v="95654"/>
    <n v="38.368000000000002"/>
    <n v="-120.807"/>
    <s v="CA06005000303"/>
    <s v="Amador"/>
    <s v="Amador County APCD"/>
    <s v="Mountain Counties"/>
    <x v="1"/>
    <n v="0"/>
    <n v="0"/>
    <n v="0"/>
    <n v="0"/>
    <n v="0"/>
    <n v="0"/>
    <x v="0"/>
    <n v="0.1"/>
    <x v="194"/>
    <x v="40"/>
    <n v="0.3"/>
    <x v="24"/>
  </r>
  <r>
    <n v="2023"/>
    <n v="104488"/>
    <n v="2018"/>
    <s v="Crimson Resource Management Corp"/>
    <x v="5"/>
    <n v="211111"/>
    <s v="Crude Petroleum and Natural Gas Extraction"/>
    <s v="5001 California Avenue, #206, Bakersfield, CA 93309"/>
    <s v="Bakersfield"/>
    <s v="California"/>
    <n v="93309"/>
    <n v="35.363"/>
    <n v="-119.05800000000001"/>
    <s v="CA06029001801"/>
    <s v="Kern"/>
    <s v="San Joaquin Valley APCD"/>
    <s v="San Joaquin Valley"/>
    <x v="0"/>
    <n v="335035"/>
    <n v="335035"/>
    <n v="0"/>
    <n v="333180"/>
    <n v="66.94"/>
    <n v="0.61"/>
    <x v="170"/>
    <n v="25.3"/>
    <x v="195"/>
    <x v="84"/>
    <n v="12.6"/>
    <x v="133"/>
  </r>
  <r>
    <n v="2023"/>
    <n v="104514"/>
    <n v="59"/>
    <s v="University of California, Berkeley"/>
    <x v="0"/>
    <n v="611310"/>
    <s v="Colleges, Universities, and Professional Schools"/>
    <s v="317 University Hall #1150, Berkeley, CA 94720"/>
    <s v="Berkeley"/>
    <s v="California"/>
    <n v="94720"/>
    <n v="37.872"/>
    <n v="-122.267"/>
    <s v="CA06001422900"/>
    <s v="Alameda"/>
    <s v="Bay Area AQMD"/>
    <s v="San Francisco Bay Area"/>
    <x v="0"/>
    <n v="121435"/>
    <n v="121435"/>
    <n v="0"/>
    <n v="121310"/>
    <n v="2.29"/>
    <n v="0.23"/>
    <x v="171"/>
    <n v="29.5"/>
    <x v="196"/>
    <x v="16"/>
    <n v="12.1"/>
    <x v="134"/>
  </r>
  <r>
    <n v="2023"/>
    <n v="104516"/>
    <n v="20459"/>
    <s v="Tesla, Inc."/>
    <x v="0"/>
    <n v="336111"/>
    <s v="Automobile Manufacturing"/>
    <s v="45500 Fremont boulevard, Fremont, CA 94538"/>
    <s v="Fremont"/>
    <s v="California"/>
    <n v="94538"/>
    <n v="37.493000000000002"/>
    <n v="-121.944"/>
    <s v="CA06001441503"/>
    <s v="Alameda"/>
    <s v="Bay Area AQMD"/>
    <s v="San Francisco Bay Area"/>
    <x v="0"/>
    <n v="47017"/>
    <n v="47017"/>
    <n v="0"/>
    <n v="46969"/>
    <n v="0.89"/>
    <n v="0.09"/>
    <x v="172"/>
    <n v="171.8"/>
    <x v="146"/>
    <x v="8"/>
    <n v="0.3"/>
    <x v="24"/>
  </r>
  <r>
    <n v="2023"/>
    <n v="104536"/>
    <n v="274"/>
    <s v="Clean Energy"/>
    <x v="0"/>
    <n v="221210"/>
    <s v="Natural Gas Distribution"/>
    <s v="14436 Contractor Road, Boron, CA 93516"/>
    <s v="Boron"/>
    <s v="California"/>
    <n v="93516"/>
    <n v="35.034999999999997"/>
    <n v="-117.712"/>
    <s v="CA06059062610"/>
    <s v="Orange"/>
    <s v="South Coast AQMD"/>
    <s v="South Coast"/>
    <x v="0"/>
    <n v="20378"/>
    <n v="20378"/>
    <n v="0"/>
    <n v="20357"/>
    <n v="0.38"/>
    <n v="0.04"/>
    <x v="173"/>
    <n v="3"/>
    <x v="65"/>
    <x v="6"/>
    <n v="1.2"/>
    <x v="11"/>
  </r>
  <r>
    <n v="2023"/>
    <n v="104538"/>
    <n v="2352"/>
    <s v="JP Oil"/>
    <x v="5"/>
    <n v="211111"/>
    <s v="Crude Petroleum and Natural Gas Extraction"/>
    <s v="19051 Shafter Avenue, Shafter, CA 93263"/>
    <s v="Shafter"/>
    <s v="California"/>
    <n v="93263"/>
    <n v="35.457000000000001"/>
    <n v="-119.244"/>
    <s v="CA06029003900"/>
    <s v="Kern"/>
    <s v="San Joaquin Valley APCD"/>
    <s v="San Joaquin Valley"/>
    <x v="1"/>
    <n v="11436"/>
    <n v="11436"/>
    <n v="0"/>
    <n v="10832"/>
    <n v="23.86"/>
    <n v="0.03"/>
    <x v="0"/>
    <n v="1.5"/>
    <x v="167"/>
    <x v="6"/>
    <n v="4.4000000000000004"/>
    <x v="135"/>
  </r>
  <r>
    <n v="2023"/>
    <n v="104541"/>
    <n v="1910"/>
    <s v="Crystal Creamery, Inc."/>
    <x v="0"/>
    <n v="311511"/>
    <s v="Fluid Milk Manufacturing"/>
    <s v="415 Kansas Ave., Modesto, CA 95351"/>
    <s v="Modesto"/>
    <s v="California"/>
    <n v="95351"/>
    <n v="37.646999999999998"/>
    <n v="-121.01300000000001"/>
    <s v="CA06099000602"/>
    <s v="Stanislaus"/>
    <s v="San Joaquin Valley APCD"/>
    <s v="San Joaquin Valley"/>
    <x v="1"/>
    <n v="17499"/>
    <n v="17499"/>
    <n v="0"/>
    <n v="17481"/>
    <n v="0.33"/>
    <n v="0.03"/>
    <x v="0"/>
    <n v="1.6"/>
    <x v="197"/>
    <x v="27"/>
    <n v="6.5"/>
    <x v="40"/>
  </r>
  <r>
    <n v="2023"/>
    <n v="104547"/>
    <n v="92013"/>
    <s v="City of San Diego, Public Utilities Dept, North City Water Reclamation Plant"/>
    <x v="0"/>
    <n v="221320"/>
    <s v="Sewage Treatment Facilities"/>
    <s v="4949 Eastgate Mall, San Diego, CA 92121"/>
    <s v="San Diego"/>
    <s v="California"/>
    <n v="92121"/>
    <n v="32.878"/>
    <n v="-117.19799999999999"/>
    <s v="CA06073008350"/>
    <s v="San Diego"/>
    <s v="San Diego County APCD"/>
    <s v="San Diego"/>
    <x v="1"/>
    <n v="72"/>
    <n v="72"/>
    <n v="0"/>
    <n v="72"/>
    <n v="0"/>
    <n v="0"/>
    <x v="0"/>
    <n v="0.8"/>
    <x v="23"/>
    <x v="11"/>
    <n v="0"/>
    <x v="17"/>
  </r>
  <r>
    <n v="2023"/>
    <n v="104548"/>
    <n v="3591"/>
    <s v="Foster Farms Porterville Plant "/>
    <x v="0"/>
    <n v="311615"/>
    <s v="Poultry Processing"/>
    <s v="770 N. Plano Street, Porterville, CA 93257"/>
    <s v="Porterville"/>
    <s v="California"/>
    <n v="93257"/>
    <n v="36.079000000000001"/>
    <n v="-119.00700000000001"/>
    <s v="CA06107003902"/>
    <s v="Tulare"/>
    <s v="San Joaquin Valley APCD"/>
    <s v="San Joaquin Valley"/>
    <x v="1"/>
    <n v="9972"/>
    <n v="9972"/>
    <n v="0"/>
    <n v="9962"/>
    <n v="0.19"/>
    <n v="0.02"/>
    <x v="0"/>
    <n v="0.3"/>
    <x v="19"/>
    <x v="8"/>
    <n v="0.6"/>
    <x v="62"/>
  </r>
  <r>
    <n v="2023"/>
    <n v="104559"/>
    <n v="5293"/>
    <s v="Genentech - Vacaville"/>
    <x v="0"/>
    <n v="325412"/>
    <s v="Pharmaceutical Preparation Manufacturing"/>
    <s v="1000 New Horizons Way, Vacaville, CA 95688"/>
    <s v="Vacaville"/>
    <s v="California"/>
    <n v="95688"/>
    <n v="38.390999999999998"/>
    <n v="-121.94799999999999"/>
    <s v="CA06095252904"/>
    <s v="Solano"/>
    <s v="Yolo-Solano AQMD"/>
    <s v="Sacramento Valley"/>
    <x v="1"/>
    <n v="11136"/>
    <n v="11136"/>
    <n v="0"/>
    <n v="11125"/>
    <n v="0.21"/>
    <n v="0.02"/>
    <x v="0"/>
    <n v="5.4"/>
    <x v="194"/>
    <x v="8"/>
    <n v="3.7"/>
    <x v="115"/>
  </r>
  <r>
    <n v="2023"/>
    <n v="104569"/>
    <n v="20197"/>
    <s v="Los Angeles General Medical Center"/>
    <x v="0"/>
    <n v="622110"/>
    <s v="General Medical and Surgical Hospitals"/>
    <s v="1358 N. Mission Rd., Los Angeles, CA 90033"/>
    <s v="Los Angeles"/>
    <s v="California"/>
    <n v="90033"/>
    <n v="34.063000000000002"/>
    <n v="-118.21"/>
    <s v="CA06037203300"/>
    <s v="Los Angeles"/>
    <s v="South Coast AQMD"/>
    <s v="South Coast"/>
    <x v="0"/>
    <n v="27160"/>
    <n v="27160"/>
    <n v="0"/>
    <n v="27132"/>
    <n v="0.51"/>
    <n v="0.05"/>
    <x v="174"/>
    <n v="5.4"/>
    <x v="198"/>
    <x v="21"/>
    <n v="3.4"/>
    <x v="40"/>
  </r>
  <r>
    <n v="2023"/>
    <n v="104580"/>
    <n v="5159"/>
    <s v="Hood Dairy"/>
    <x v="0"/>
    <n v="311511"/>
    <s v="Fluid Milk Manufacturing"/>
    <s v="8340 Belvedere Ave, Sacramento, CA 95826"/>
    <s v="Sacramento"/>
    <s v="California"/>
    <n v="95826"/>
    <n v="38.536999999999999"/>
    <n v="-121.39700000000001"/>
    <s v="CA06067005205"/>
    <s v="Sacramento"/>
    <s v="Sacramento Metropolitan AQMD"/>
    <s v="Sacramento Valley"/>
    <x v="1"/>
    <n v="20722"/>
    <n v="20722"/>
    <n v="0"/>
    <n v="20701"/>
    <n v="0.39"/>
    <n v="0.04"/>
    <x v="0"/>
    <n v="2.1"/>
    <x v="19"/>
    <x v="8"/>
    <n v="1.5"/>
    <x v="89"/>
  </r>
  <r>
    <n v="2023"/>
    <n v="104581"/>
    <m/>
    <s v="CALNRG - Lynch Canyon Field"/>
    <x v="5"/>
    <n v="211111"/>
    <s v="Crude Petroleum and Natural Gas Extraction"/>
    <s v="63223 Deamd Mans Gulch Rd., San Ardo, CA 93450"/>
    <s v="San Ardo"/>
    <s v="California"/>
    <n v="93450"/>
    <n v="36.000999999999998"/>
    <n v="-120.842"/>
    <s v="CA06053011400"/>
    <s v="Monterey"/>
    <s v="Monterey Bay ARD"/>
    <s v="North Central Coast"/>
    <x v="0"/>
    <n v="20112"/>
    <n v="20112"/>
    <n v="0"/>
    <n v="20089"/>
    <n v="0.46"/>
    <n v="0.04"/>
    <x v="175"/>
    <n v="0"/>
    <x v="23"/>
    <x v="11"/>
    <n v="0"/>
    <x v="17"/>
  </r>
  <r>
    <n v="2023"/>
    <n v="104611"/>
    <n v="131732"/>
    <s v="Newport Fab, LLC (DBA TowerJazz Semiconductor)"/>
    <x v="0"/>
    <n v="334413"/>
    <s v="Semiconductor and Related Device Manufacturing"/>
    <s v="4321, Newport Beach, CA 92660"/>
    <s v="Newport Beach"/>
    <s v="California"/>
    <n v="92660"/>
    <n v="33.662999999999997"/>
    <n v="-117.86"/>
    <s v="CA06059062610"/>
    <s v="Orange"/>
    <s v="South Coast AQMD"/>
    <s v="South Coast"/>
    <x v="1"/>
    <n v="11973"/>
    <n v="11973"/>
    <n v="0"/>
    <n v="11961"/>
    <n v="0.23"/>
    <n v="0.02"/>
    <x v="0"/>
    <n v="1"/>
    <x v="175"/>
    <x v="8"/>
    <n v="2.1"/>
    <x v="96"/>
  </r>
  <r>
    <n v="2023"/>
    <n v="104613"/>
    <m/>
    <s v="Matsui Nursery, Inc."/>
    <x v="0"/>
    <n v="111422"/>
    <s v="Floriculture Production"/>
    <s v="1645 Old Stage Road, Salinas, CA 93908"/>
    <s v="Salinas"/>
    <s v="California"/>
    <n v="93908"/>
    <n v="36.619999999999997"/>
    <n v="-121.523"/>
    <s v="CA06053014800"/>
    <s v="Monterey"/>
    <s v="Monterey Bay ARD"/>
    <s v="North Central Coast"/>
    <x v="1"/>
    <n v="9602"/>
    <n v="9602"/>
    <n v="0"/>
    <n v="9592"/>
    <n v="0.18"/>
    <n v="0.02"/>
    <x v="0"/>
    <n v="0"/>
    <x v="23"/>
    <x v="11"/>
    <n v="0"/>
    <x v="17"/>
  </r>
  <r>
    <n v="2023"/>
    <n v="104614"/>
    <m/>
    <s v="Sierra Aluminum, a Division of Samuel, Son &amp; Co. (USA) Inc."/>
    <x v="0"/>
    <n v="331318"/>
    <s v="Other Aluminum Rolling, Drawing, and Extruding"/>
    <s v="2345 Fleetwood Drive, Riverside, CA 92509"/>
    <s v="Riverside"/>
    <s v="California"/>
    <n v="92509"/>
    <n v="34.015000000000001"/>
    <n v="-117.379"/>
    <s v="CA06065040101"/>
    <s v="Riverside"/>
    <s v="South Coast AQMD"/>
    <s v="South Coast"/>
    <x v="1"/>
    <n v="17328"/>
    <n v="17328"/>
    <n v="0"/>
    <n v="14682"/>
    <n v="6.9"/>
    <n v="8.3000000000000007"/>
    <x v="0"/>
    <n v="0"/>
    <x v="23"/>
    <x v="11"/>
    <n v="0"/>
    <x v="17"/>
  </r>
  <r>
    <n v="2023"/>
    <n v="104615"/>
    <n v="171"/>
    <s v="Sharp Grossmont Hospital"/>
    <x v="0"/>
    <n v="622110"/>
    <s v="General Medical and Surgical Hospitals"/>
    <s v="5555 Grossmont Center Drive, La Mesa, CA 91942"/>
    <s v="La Mesa"/>
    <s v="California"/>
    <n v="91942"/>
    <n v="32.780999999999999"/>
    <n v="-117.006"/>
    <s v="CA06073015000"/>
    <s v="San Diego"/>
    <s v="San Diego County APCD"/>
    <s v="San Diego"/>
    <x v="1"/>
    <n v="20746"/>
    <n v="20746"/>
    <n v="0"/>
    <n v="20725"/>
    <n v="0.39"/>
    <n v="0.04"/>
    <x v="0"/>
    <n v="0.4"/>
    <x v="136"/>
    <x v="8"/>
    <n v="1.3"/>
    <x v="13"/>
  </r>
  <r>
    <n v="2023"/>
    <n v="104616"/>
    <n v="17953"/>
    <s v="Pacific Clay Products"/>
    <x v="0"/>
    <n v="327120"/>
    <s v="Clay Building Material and Refractories Manufacturing"/>
    <s v="14741 Lake Street, Lake Elsionre, CA 92530"/>
    <s v="Lake Elsionre"/>
    <s v="California"/>
    <n v="92530"/>
    <n v="33.667000000000002"/>
    <n v="-117.328"/>
    <s v="CA06065043001"/>
    <s v="Riverside"/>
    <s v="South Coast AQMD"/>
    <s v="South Coast"/>
    <x v="1"/>
    <n v="8114"/>
    <n v="8114"/>
    <n v="0"/>
    <n v="8106"/>
    <n v="0.15"/>
    <n v="0.02"/>
    <x v="0"/>
    <n v="5.2"/>
    <x v="199"/>
    <x v="11"/>
    <n v="12"/>
    <x v="98"/>
  </r>
  <r>
    <n v="2023"/>
    <n v="104617"/>
    <n v="14966"/>
    <s v="VA Greater Los Angeles Healthcare System"/>
    <x v="0"/>
    <n v="621491"/>
    <s v="HMO Medical Centers"/>
    <s v="11301 Wilshire Blvd, Los Angeles, CA 90073"/>
    <s v="Los Angeles"/>
    <s v="California"/>
    <n v="90073"/>
    <n v="34.049999999999997"/>
    <n v="-118.465"/>
    <s v="CA06037264301"/>
    <s v="Los Angeles"/>
    <s v="South Coast AQMD"/>
    <s v="South Coast"/>
    <x v="1"/>
    <n v="11629"/>
    <n v="11629"/>
    <n v="0"/>
    <n v="11617"/>
    <n v="0.22"/>
    <n v="0.02"/>
    <x v="0"/>
    <n v="0.7"/>
    <x v="158"/>
    <x v="8"/>
    <n v="1.5"/>
    <x v="11"/>
  </r>
  <r>
    <n v="2023"/>
    <n v="104618"/>
    <m/>
    <s v="WWF Operating Company, LLC"/>
    <x v="0"/>
    <n v="311511"/>
    <s v="Fluid Milk Manufacturing"/>
    <s v="18275 Arenth Avenue, City of Industry, CA 91748"/>
    <s v="City of Industry"/>
    <s v="California"/>
    <n v="91748"/>
    <n v="34.005000000000003"/>
    <n v="-117.90600000000001"/>
    <s v="CA06037408211"/>
    <s v="Los Angeles"/>
    <s v="South Coast AQMD"/>
    <s v="South Coast"/>
    <x v="1"/>
    <n v="17733"/>
    <n v="17733"/>
    <n v="0"/>
    <n v="17715"/>
    <n v="0.33"/>
    <n v="0.03"/>
    <x v="0"/>
    <n v="0"/>
    <x v="23"/>
    <x v="11"/>
    <n v="0"/>
    <x v="17"/>
  </r>
  <r>
    <n v="2023"/>
    <n v="104620"/>
    <n v="31"/>
    <s v="Timber Products Company Yreka Veneer"/>
    <x v="0"/>
    <n v="321212"/>
    <s v="Softwood Veneer and Plywood Manufacturing"/>
    <s v="130 N Phillipe Lane, Yreka, CA 96097"/>
    <s v="Yreka"/>
    <s v="California"/>
    <n v="96097"/>
    <n v="41.731999999999999"/>
    <n v="-122.59"/>
    <s v="CA06093000701"/>
    <s v="Siskiyou"/>
    <s v="Siskiyou County APCD"/>
    <s v="Northeast Plateau"/>
    <x v="1"/>
    <n v="8953"/>
    <n v="192"/>
    <n v="8761"/>
    <n v="8761"/>
    <n v="2.99"/>
    <n v="0.39"/>
    <x v="0"/>
    <n v="4.2"/>
    <x v="200"/>
    <x v="40"/>
    <n v="33.1"/>
    <x v="136"/>
  </r>
  <r>
    <n v="2023"/>
    <n v="104621"/>
    <n v="800016"/>
    <s v="Baker Commodities, Inc., Vernon Division"/>
    <x v="0"/>
    <n v="311613"/>
    <s v="Rendering and Meat Byproduct Processing"/>
    <s v="4020 Bandini Blvd, Vernon, CA 90058"/>
    <s v="Vernon"/>
    <s v="California"/>
    <n v="90058"/>
    <n v="34.003999999999998"/>
    <n v="-118.193"/>
    <s v="CA06037532400"/>
    <s v="Los Angeles"/>
    <s v="South Coast AQMD"/>
    <s v="South Coast"/>
    <x v="1"/>
    <n v="4430"/>
    <n v="4430"/>
    <n v="0"/>
    <n v="4426"/>
    <n v="0.08"/>
    <n v="0.01"/>
    <x v="0"/>
    <n v="0.4"/>
    <x v="175"/>
    <x v="11"/>
    <n v="0.4"/>
    <x v="62"/>
  </r>
  <r>
    <n v="2023"/>
    <n v="104626"/>
    <n v="475"/>
    <s v="Santa Clara Valley Medical Center"/>
    <x v="0"/>
    <n v="622110"/>
    <s v="General Medical and Surgical Hospitals"/>
    <s v="751 S. Bascom Ave., San Jose, CA 95128"/>
    <s v="San Jose"/>
    <s v="California"/>
    <n v="95128"/>
    <n v="37.323"/>
    <n v="-121.934"/>
    <s v="CA06085502001"/>
    <s v="Santa Clara"/>
    <s v="Bay Area AQMD"/>
    <s v="San Francisco Bay Area"/>
    <x v="1"/>
    <n v="14849"/>
    <n v="14849"/>
    <n v="0"/>
    <n v="14834"/>
    <n v="0.28000000000000003"/>
    <n v="0.03"/>
    <x v="0"/>
    <n v="1.5"/>
    <x v="40"/>
    <x v="8"/>
    <n v="0.9"/>
    <x v="20"/>
  </r>
  <r>
    <n v="2023"/>
    <n v="104629"/>
    <n v="628"/>
    <s v="Mission Bell Winery "/>
    <x v="0"/>
    <n v="312130"/>
    <s v="Wineries"/>
    <s v="12667 Road 24, Madera, CA 93637"/>
    <s v="Madera"/>
    <s v="California"/>
    <n v="93637"/>
    <n v="36.930999999999997"/>
    <n v="-120.11"/>
    <s v="CA06039000503"/>
    <s v="Madera"/>
    <s v="San Joaquin Valley APCD"/>
    <s v="San Joaquin Valley"/>
    <x v="1"/>
    <n v="5899"/>
    <n v="5899"/>
    <n v="0"/>
    <n v="5893"/>
    <n v="0.12"/>
    <n v="0.01"/>
    <x v="0"/>
    <n v="2.7"/>
    <x v="161"/>
    <x v="21"/>
    <n v="0.4"/>
    <x v="62"/>
  </r>
  <r>
    <n v="2023"/>
    <n v="104632"/>
    <n v="154"/>
    <s v="Sacramento Rendering Company"/>
    <x v="0"/>
    <n v="311613"/>
    <s v="Rendering and Meat Byproduct Processing"/>
    <s v="11350 Kiefer Blvd, Sacramento, CA 95830-9498"/>
    <s v="Sacramento"/>
    <s v="California"/>
    <n v="95830"/>
    <n v="38.526000000000003"/>
    <n v="-121.253"/>
    <s v="CA06067008600"/>
    <s v="Sacramento"/>
    <s v="Sacramento Metropolitan AQMD"/>
    <s v="Sacramento Valley"/>
    <x v="1"/>
    <n v="12096"/>
    <n v="12096"/>
    <n v="0"/>
    <n v="12084"/>
    <n v="0.23"/>
    <n v="0.02"/>
    <x v="0"/>
    <n v="3.4"/>
    <x v="152"/>
    <x v="45"/>
    <n v="4.7"/>
    <x v="122"/>
  </r>
  <r>
    <n v="2023"/>
    <n v="104633"/>
    <n v="3029"/>
    <s v="Matchmaster Dyeing &amp; Finishing"/>
    <x v="0"/>
    <n v="313310"/>
    <s v="Textile and Fabric Finishing Mills"/>
    <s v="3700 South Broadway, Los Angeles, CO 90007"/>
    <s v="Los Angeles"/>
    <s v="California"/>
    <n v="90007"/>
    <n v="34.015000000000001"/>
    <n v="-118.276"/>
    <s v="CA06037231100"/>
    <s v="Los Angeles"/>
    <s v="South Coast AQMD"/>
    <s v="South Coast"/>
    <x v="0"/>
    <n v="21190"/>
    <n v="21190"/>
    <n v="0"/>
    <n v="21168"/>
    <n v="0.4"/>
    <n v="0.04"/>
    <x v="176"/>
    <n v="3.9"/>
    <x v="201"/>
    <x v="8"/>
    <n v="1.5"/>
    <x v="89"/>
  </r>
  <r>
    <n v="2023"/>
    <n v="104635"/>
    <m/>
    <s v="Stanford University"/>
    <x v="0"/>
    <n v="611310"/>
    <s v="Colleges, Universities, and Professional Schools"/>
    <s v="3160 Porter Drive, Palo Alto, CA 94304"/>
    <s v="Palo Alto"/>
    <s v="California"/>
    <n v="94304"/>
    <n v="37.427999999999997"/>
    <n v="-122.17"/>
    <s v="CA06085513000"/>
    <s v="Santa Clara"/>
    <s v="Bay Area AQMD"/>
    <s v="San Francisco Bay Area"/>
    <x v="0"/>
    <n v="30440"/>
    <n v="30440"/>
    <n v="0"/>
    <n v="30408"/>
    <n v="0.56999999999999995"/>
    <n v="0.06"/>
    <x v="177"/>
    <n v="0"/>
    <x v="23"/>
    <x v="11"/>
    <n v="0"/>
    <x v="17"/>
  </r>
  <r>
    <n v="2023"/>
    <n v="104640"/>
    <n v="1237"/>
    <s v="E &amp; J Gallo Winery - Livingston"/>
    <x v="0"/>
    <n v="312130"/>
    <s v="Wineries"/>
    <s v="18000 W River Road, Livingston, CA 95334"/>
    <s v="Livingston"/>
    <s v="California"/>
    <n v="95334"/>
    <n v="37.375"/>
    <n v="-120.81399999999999"/>
    <s v="CA06047000303"/>
    <s v="Merced"/>
    <s v="San Joaquin Valley APCD"/>
    <s v="San Joaquin Valley"/>
    <x v="1"/>
    <n v="21496"/>
    <n v="15688"/>
    <n v="5807"/>
    <n v="21449"/>
    <n v="0.66"/>
    <n v="0.1"/>
    <x v="0"/>
    <n v="222.5"/>
    <x v="158"/>
    <x v="85"/>
    <n v="1.3"/>
    <x v="11"/>
  </r>
  <r>
    <n v="2023"/>
    <n v="104642"/>
    <n v="23194"/>
    <s v="City of Hope National Medical Center"/>
    <x v="0"/>
    <n v="622110"/>
    <s v="General Medical and Surgical Hospitals"/>
    <s v="1500 East Duarte Road, Duarte, CA 91010-3000"/>
    <s v="Duarte"/>
    <s v="California"/>
    <n v="91010"/>
    <n v="34.128999999999998"/>
    <n v="-117.97199999999999"/>
    <s v="CA06037430102"/>
    <s v="Los Angeles"/>
    <s v="South Coast AQMD"/>
    <s v="South Coast"/>
    <x v="1"/>
    <n v="13280"/>
    <n v="13280"/>
    <n v="0"/>
    <n v="13266"/>
    <n v="0.25"/>
    <n v="0.03"/>
    <x v="0"/>
    <n v="0.1"/>
    <x v="13"/>
    <x v="11"/>
    <n v="0.1"/>
    <x v="137"/>
  </r>
  <r>
    <n v="2023"/>
    <n v="104643"/>
    <n v="1896"/>
    <s v="Ventura Coastal"/>
    <x v="0"/>
    <n v="333294"/>
    <s v="Food Product Machinery Manufacturing"/>
    <s v="12310 Ave 368, Visalia, CA 93291"/>
    <s v="Visalia"/>
    <s v="California"/>
    <n v="93291"/>
    <n v="36.459000000000003"/>
    <n v="-119.298"/>
    <s v="CA06107000900"/>
    <s v="Tulare"/>
    <s v="San Joaquin Valley APCD"/>
    <s v="San Joaquin Valley"/>
    <x v="1"/>
    <n v="12624"/>
    <n v="12624"/>
    <n v="0"/>
    <n v="12611"/>
    <n v="0.24"/>
    <n v="0.02"/>
    <x v="0"/>
    <n v="0.4"/>
    <x v="202"/>
    <x v="40"/>
    <n v="0.9"/>
    <x v="20"/>
  </r>
  <r>
    <n v="2023"/>
    <n v="104647"/>
    <m/>
    <s v="The Sun Valley Group"/>
    <x v="0"/>
    <n v="111422"/>
    <s v="Floriculture Production"/>
    <s v="3160 Upper Bay Road, Arcata, CA 95521"/>
    <s v="Arcata"/>
    <s v="California"/>
    <n v="95521"/>
    <n v="40.893000000000001"/>
    <n v="-124.10299999999999"/>
    <s v="CA06023001101"/>
    <s v="Humboldt"/>
    <s v="North Coast Unified AQMD"/>
    <s v="North Coast"/>
    <x v="1"/>
    <n v="7341"/>
    <n v="7341"/>
    <n v="0"/>
    <n v="7334"/>
    <n v="0.14000000000000001"/>
    <n v="0.01"/>
    <x v="0"/>
    <n v="0"/>
    <x v="23"/>
    <x v="11"/>
    <n v="0"/>
    <x v="17"/>
  </r>
  <r>
    <n v="2023"/>
    <n v="104655"/>
    <n v="711"/>
    <s v="Delano Growers Grape Products"/>
    <x v="0"/>
    <n v="311411"/>
    <s v="Frozen Fruit, Juice, and Vegetable Manufacturing"/>
    <s v="32351 Bassett Avenue, Delano, CA 93215"/>
    <s v="Delano"/>
    <s v="California"/>
    <n v="93215"/>
    <n v="35.780999999999999"/>
    <n v="-119.191"/>
    <s v="CA06029004604"/>
    <s v="Kern"/>
    <s v="San Joaquin Valley APCD"/>
    <s v="San Joaquin Valley"/>
    <x v="1"/>
    <n v="16220"/>
    <n v="16220"/>
    <n v="0"/>
    <n v="16203"/>
    <n v="0.31"/>
    <n v="0.03"/>
    <x v="0"/>
    <n v="0.8"/>
    <x v="77"/>
    <x v="19"/>
    <n v="1.3"/>
    <x v="13"/>
  </r>
  <r>
    <n v="2023"/>
    <n v="104657"/>
    <n v="214"/>
    <s v="California State Prison - Corcoran"/>
    <x v="0"/>
    <n v="922140"/>
    <s v="Correctional Institutions"/>
    <s v="4001 King Ave., Corcoran, CA 93212"/>
    <s v="Corcoran"/>
    <s v="California"/>
    <n v="93212"/>
    <n v="36.06"/>
    <n v="-119.55"/>
    <s v="CA06031001602"/>
    <s v="Kings"/>
    <s v="San Joaquin Valley APCD"/>
    <s v="San Joaquin Valley"/>
    <x v="1"/>
    <n v="17182"/>
    <n v="17182"/>
    <n v="0"/>
    <n v="17164"/>
    <n v="0.32"/>
    <n v="0.03"/>
    <x v="0"/>
    <n v="0.6"/>
    <x v="107"/>
    <x v="19"/>
    <n v="0.2"/>
    <x v="137"/>
  </r>
  <r>
    <n v="2023"/>
    <n v="104658"/>
    <n v="104234"/>
    <s v="Mission Foods Corporation"/>
    <x v="0"/>
    <n v="311830"/>
    <s v="Tortilla Manufacturing"/>
    <s v="11559 Jersey Boulevard, Rancho Cucamonga, CA 91730"/>
    <s v="Rancho Cucamonga"/>
    <s v="California"/>
    <n v="91730"/>
    <n v="34.094000000000001"/>
    <n v="-117.553"/>
    <s v="CA06071002110"/>
    <s v="San Bernardino"/>
    <s v="South Coast AQMD"/>
    <s v="South Coast"/>
    <x v="1"/>
    <n v="11224"/>
    <n v="11224"/>
    <n v="0"/>
    <n v="11212"/>
    <n v="0.21"/>
    <n v="0.02"/>
    <x v="0"/>
    <n v="5.9"/>
    <x v="116"/>
    <x v="8"/>
    <n v="1.9"/>
    <x v="71"/>
  </r>
  <r>
    <n v="2023"/>
    <n v="104660"/>
    <n v="16389"/>
    <s v="Cedars-Sinai Medical Center"/>
    <x v="0"/>
    <n v="622110"/>
    <s v="General Medical and Surgical Hospitals"/>
    <s v="8700 Beverly Blvd., Los Angeles, CA 90048"/>
    <s v="Los Angeles"/>
    <s v="California"/>
    <n v="90048"/>
    <n v="34.075000000000003"/>
    <n v="-118.38"/>
    <s v="CA06037214902"/>
    <s v="Los Angeles"/>
    <s v="South Coast AQMD"/>
    <s v="South Coast"/>
    <x v="1"/>
    <n v="17738"/>
    <n v="17738"/>
    <n v="0"/>
    <n v="17719"/>
    <n v="0.33"/>
    <n v="0.03"/>
    <x v="0"/>
    <n v="1.4"/>
    <x v="181"/>
    <x v="8"/>
    <n v="1.6"/>
    <x v="89"/>
  </r>
  <r>
    <n v="2023"/>
    <n v="104661"/>
    <n v="2596"/>
    <s v="VA San Diego Healthcare System"/>
    <x v="0"/>
    <n v="923140"/>
    <s v="Administration of Veterans' Affairs"/>
    <s v="3350 La Jolla Village Dr, San Diego, CA 92161"/>
    <s v="San Diego"/>
    <s v="California"/>
    <n v="92161"/>
    <n v="32.875"/>
    <n v="-117.232"/>
    <s v="CA06073008305"/>
    <s v="San Diego"/>
    <s v="San Diego County APCD"/>
    <s v="San Diego"/>
    <x v="1"/>
    <n v="18109"/>
    <n v="18109"/>
    <n v="0"/>
    <n v="18091"/>
    <n v="0.34"/>
    <n v="0.03"/>
    <x v="0"/>
    <n v="0.2"/>
    <x v="150"/>
    <x v="8"/>
    <n v="1"/>
    <x v="18"/>
  </r>
  <r>
    <n v="2023"/>
    <n v="104662"/>
    <n v="5498"/>
    <s v="California Medical Facility"/>
    <x v="0"/>
    <n v="622210"/>
    <s v="Psychiatric and Substance Abuse Hospitals"/>
    <s v="1600 California Drive, Vacaville, CA 95687"/>
    <s v="Vacaville"/>
    <s v="California"/>
    <n v="95687"/>
    <n v="38.332999999999998"/>
    <n v="-121.979"/>
    <s v="CA06095253000"/>
    <s v="Solano"/>
    <s v="Yolo-Solano AQMD"/>
    <s v="Sacramento Valley"/>
    <x v="1"/>
    <n v="14693"/>
    <n v="14693"/>
    <n v="0"/>
    <n v="14678"/>
    <n v="0.28000000000000003"/>
    <n v="0.03"/>
    <x v="0"/>
    <n v="0.6"/>
    <x v="175"/>
    <x v="8"/>
    <n v="0.8"/>
    <x v="127"/>
  </r>
  <r>
    <n v="2023"/>
    <n v="104663"/>
    <n v="1634"/>
    <s v="DSH-Napa State Hospital"/>
    <x v="0"/>
    <n v="622110"/>
    <s v="General Medical and Surgical Hospitals"/>
    <s v="2100 Napa Vallejo Hwy, Napa, CA 94558-6293"/>
    <s v="Napa"/>
    <s v="California"/>
    <n v="94558"/>
    <n v="38.279000000000003"/>
    <n v="-122.273"/>
    <s v="CA06055200900"/>
    <s v="Napa"/>
    <s v="Bay Area AQMD"/>
    <s v="San Francisco Bay Area"/>
    <x v="1"/>
    <n v="13037"/>
    <n v="13037"/>
    <n v="0"/>
    <n v="13024"/>
    <n v="0.25"/>
    <n v="0.03"/>
    <x v="0"/>
    <n v="2.9"/>
    <x v="203"/>
    <x v="8"/>
    <n v="1.2"/>
    <x v="11"/>
  </r>
  <r>
    <n v="2023"/>
    <n v="104666"/>
    <n v="82207"/>
    <s v="All American Asphalt - Irvine"/>
    <x v="0"/>
    <n v="324121"/>
    <s v="Asphalt Paving Mixture and Block Manufacturing"/>
    <s v="10761 Jeffrey Rd, Irvine, CA 92602"/>
    <s v="Irvine"/>
    <s v="California"/>
    <n v="92602"/>
    <n v="33.734000000000002"/>
    <n v="-117.72499999999999"/>
    <s v="CA06059052420"/>
    <s v="Orange"/>
    <s v="South Coast AQMD"/>
    <s v="South Coast"/>
    <x v="1"/>
    <n v="8428"/>
    <n v="8428"/>
    <n v="0"/>
    <n v="8420"/>
    <n v="0.16"/>
    <n v="0.02"/>
    <x v="0"/>
    <n v="9.8000000000000007"/>
    <x v="167"/>
    <x v="11"/>
    <n v="2.8"/>
    <x v="111"/>
  </r>
  <r>
    <n v="2023"/>
    <n v="104669"/>
    <n v="10"/>
    <s v="Reynolds Consumer Products - Red Bluff"/>
    <x v="0"/>
    <n v="322299"/>
    <s v="All Other Converted Paper Product Manufacturing"/>
    <s v="1000 Diamond Ave, Red Bluff, CA 96080"/>
    <s v="Red Bluff"/>
    <s v="California"/>
    <n v="96080"/>
    <n v="40.146999999999998"/>
    <n v="-122.21"/>
    <s v="CA06103000800"/>
    <s v="Tehama"/>
    <s v="Tehama County APCD"/>
    <s v="Sacramento Valley"/>
    <x v="1"/>
    <n v="11901"/>
    <n v="11901"/>
    <n v="0"/>
    <n v="11889"/>
    <n v="0.22"/>
    <n v="0.02"/>
    <x v="0"/>
    <n v="0.1"/>
    <x v="77"/>
    <x v="8"/>
    <n v="0.8"/>
    <x v="127"/>
  </r>
  <r>
    <n v="2023"/>
    <n v="104670"/>
    <n v="10723"/>
    <s v="Santa Barbara Cottage Hospital"/>
    <x v="0"/>
    <n v="622110"/>
    <s v="General Medical and Surgical Hospitals"/>
    <s v="400 West Pueblo St, Santa Barbara, CA 93105"/>
    <s v="Santa Barbara"/>
    <s v="California"/>
    <n v="93105"/>
    <n v="34.43"/>
    <n v="-119.723"/>
    <s v="CA06083000302"/>
    <s v="Santa Barbara"/>
    <s v="Santa Barbara County APCD"/>
    <s v="South Central Coast"/>
    <x v="1"/>
    <n v="11279"/>
    <n v="11279"/>
    <n v="0"/>
    <n v="11267"/>
    <n v="0.21"/>
    <n v="0.02"/>
    <x v="0"/>
    <n v="0.1"/>
    <x v="53"/>
    <x v="8"/>
    <n v="0.8"/>
    <x v="127"/>
  </r>
  <r>
    <n v="2023"/>
    <n v="104672"/>
    <n v="616"/>
    <s v="Harris Ranch Beef Company"/>
    <x v="0"/>
    <n v="311611"/>
    <s v="Animal (except Poultry) Slaughtering"/>
    <s v="16277 S McCall Ave, Selma, CA 93662"/>
    <s v="Selma"/>
    <s v="California"/>
    <n v="93662"/>
    <n v="36.499000000000002"/>
    <n v="-119.614"/>
    <s v="CA06019007300"/>
    <s v="Fresno"/>
    <s v="San Joaquin Valley APCD"/>
    <s v="San Joaquin Valley"/>
    <x v="1"/>
    <n v="11604"/>
    <n v="11604"/>
    <n v="0"/>
    <n v="11592"/>
    <n v="0.22"/>
    <n v="0.02"/>
    <x v="0"/>
    <n v="0.3"/>
    <x v="161"/>
    <x v="21"/>
    <n v="1.1000000000000001"/>
    <x v="127"/>
  </r>
  <r>
    <n v="2023"/>
    <n v="104675"/>
    <n v="19167"/>
    <s v="Orange Plant - R.J. Noble"/>
    <x v="0"/>
    <n v="324121"/>
    <s v="Asphalt Paving Mixture and Block Manufacturing"/>
    <s v="15505 E. Lincoln Ave, Orange, CA 92865"/>
    <s v="Orange"/>
    <s v="California"/>
    <n v="92865"/>
    <n v="33.835000000000001"/>
    <n v="-117.861"/>
    <s v="CA06059076201"/>
    <s v="Orange"/>
    <s v="South Coast AQMD"/>
    <s v="South Coast"/>
    <x v="1"/>
    <n v="6485"/>
    <n v="6485"/>
    <n v="0"/>
    <n v="6478"/>
    <n v="0.12"/>
    <n v="0.01"/>
    <x v="0"/>
    <n v="9.1"/>
    <x v="197"/>
    <x v="11"/>
    <n v="15.3"/>
    <x v="138"/>
  </r>
  <r>
    <n v="2023"/>
    <n v="104678"/>
    <n v="713"/>
    <s v="WP&amp;A King"/>
    <x v="0"/>
    <n v="311911"/>
    <s v="Roasted Nuts and Peanut Butter Manufacturing"/>
    <s v="10429 King Road, Lost Hills, CA 93727"/>
    <s v="Lost Hills"/>
    <s v="California"/>
    <n v="93727"/>
    <n v="35.770000000000003"/>
    <n v="-119.871"/>
    <s v="CA06029004500"/>
    <s v="Kern"/>
    <s v="San Joaquin Valley APCD"/>
    <s v="San Joaquin Valley"/>
    <x v="1"/>
    <n v="10910"/>
    <n v="10910"/>
    <n v="0"/>
    <n v="10899"/>
    <n v="0.21"/>
    <n v="0.02"/>
    <x v="0"/>
    <n v="0.5"/>
    <x v="181"/>
    <x v="40"/>
    <n v="0.9"/>
    <x v="127"/>
  </r>
  <r>
    <n v="2023"/>
    <n v="104679"/>
    <n v="8347"/>
    <s v="WP&amp;A Firebaugh"/>
    <x v="0"/>
    <n v="311911"/>
    <s v="Roasted Nuts and Peanut Butter Manufacturing"/>
    <s v="5970 Road 13, Firebaugh, CA 93622"/>
    <s v="Firebaugh"/>
    <s v="California"/>
    <n v="93622"/>
    <n v="36.835000000000001"/>
    <n v="-120.318"/>
    <s v="CA06039000400"/>
    <s v="Madera"/>
    <s v="San Joaquin Valley APCD"/>
    <s v="San Joaquin Valley"/>
    <x v="1"/>
    <n v="16490"/>
    <n v="16490"/>
    <n v="0"/>
    <n v="16472"/>
    <n v="0.31"/>
    <n v="0.03"/>
    <x v="0"/>
    <n v="0.7"/>
    <x v="204"/>
    <x v="6"/>
    <n v="0.7"/>
    <x v="62"/>
  </r>
  <r>
    <n v="2023"/>
    <n v="104690"/>
    <m/>
    <s v="Diamond Pet Food Processors of California, LLC - Ripon"/>
    <x v="0"/>
    <n v="311111"/>
    <s v="Dog and Cat Food Manufacturing"/>
    <s v="942 S. Stockton Ave, Ripon, CA 95366"/>
    <s v="Ripon"/>
    <s v="California"/>
    <n v="95366"/>
    <n v="37.731999999999999"/>
    <n v="-121.11799999999999"/>
    <s v="CA06077005001"/>
    <s v="San Joaquin"/>
    <s v="San Joaquin Valley APCD"/>
    <s v="San Joaquin Valley"/>
    <x v="1"/>
    <n v="20184"/>
    <n v="20184"/>
    <n v="0"/>
    <n v="20163"/>
    <n v="0.38"/>
    <n v="0.04"/>
    <x v="0"/>
    <n v="0"/>
    <x v="23"/>
    <x v="11"/>
    <n v="0"/>
    <x v="17"/>
  </r>
  <r>
    <n v="2023"/>
    <n v="104691"/>
    <n v="800149"/>
    <s v="Rio Tinto - Wilmington"/>
    <x v="0"/>
    <n v="325180"/>
    <s v="Other Basic Inorganic Chemical Manufacturing"/>
    <s v="300 Falcon St., Wilmington, CA 90744"/>
    <s v="Wilmington"/>
    <s v="California"/>
    <n v="90744"/>
    <n v="33.756999999999998"/>
    <n v="-118.267"/>
    <s v="CA06037980031"/>
    <s v="Los Angeles"/>
    <s v="South Coast AQMD"/>
    <s v="South Coast"/>
    <x v="1"/>
    <n v="8717"/>
    <n v="8717"/>
    <n v="0"/>
    <n v="8708"/>
    <n v="0.16"/>
    <n v="0.02"/>
    <x v="0"/>
    <n v="0.6"/>
    <x v="77"/>
    <x v="11"/>
    <n v="7.7"/>
    <x v="56"/>
  </r>
  <r>
    <n v="2023"/>
    <n v="104707"/>
    <n v="23"/>
    <s v="Chemtrade West US, LLC"/>
    <x v="0"/>
    <n v="325180"/>
    <s v="Other Basic Inorganic Chemical Manufacturing"/>
    <s v="525 Castro Street, Richmond, CA 94801"/>
    <s v="Richmond"/>
    <s v="California"/>
    <n v="94801"/>
    <n v="37.942"/>
    <n v="-122.381"/>
    <s v="CA06013378000"/>
    <s v="Contra Costa"/>
    <s v="Bay Area AQMD"/>
    <s v="San Francisco Bay Area"/>
    <x v="1"/>
    <n v="11053"/>
    <n v="11053"/>
    <n v="0"/>
    <n v="11042"/>
    <n v="0.21"/>
    <n v="0.02"/>
    <x v="0"/>
    <n v="0.2"/>
    <x v="103"/>
    <x v="86"/>
    <n v="0.6"/>
    <x v="28"/>
  </r>
  <r>
    <n v="2023"/>
    <n v="104709"/>
    <n v="509"/>
    <s v="Revol Greens CA, LLC"/>
    <x v="0"/>
    <n v="111419"/>
    <s v="Other Food Crops Grown Under Cover"/>
    <s v="20570 Pellisier Road, Tehachapi, CA 93561"/>
    <s v="Tehachapi"/>
    <s v="California"/>
    <n v="93561"/>
    <n v="35.116999999999997"/>
    <n v="-118.6"/>
    <s v="CA06029006007"/>
    <s v="Kern"/>
    <s v="Eastern Kern APCD"/>
    <s v="Mojave Desert"/>
    <x v="0"/>
    <n v="11619"/>
    <n v="11619"/>
    <n v="0"/>
    <n v="11607"/>
    <n v="0.22"/>
    <n v="0.02"/>
    <x v="178"/>
    <n v="7.1"/>
    <x v="52"/>
    <x v="66"/>
    <n v="3.3"/>
    <x v="15"/>
  </r>
  <r>
    <n v="2023"/>
    <n v="104711"/>
    <m/>
    <s v="California Dairies, Inc., Turlock North"/>
    <x v="0"/>
    <n v="311514"/>
    <s v="Dry, Condensed, and Evaporated Dairy Product Manufacturing"/>
    <s v="3600 West Canal Drive, Turlock, CA 95380"/>
    <s v="Turlock"/>
    <s v="California"/>
    <n v="95380"/>
    <n v="37.5"/>
    <n v="-120.89700000000001"/>
    <s v="CA06099003603"/>
    <s v="Stanislaus"/>
    <s v="San Joaquin Valley APCD"/>
    <s v="San Joaquin Valley"/>
    <x v="1"/>
    <n v="21098"/>
    <n v="21098"/>
    <n v="0"/>
    <n v="21075"/>
    <n v="0.39"/>
    <n v="0.04"/>
    <x v="0"/>
    <n v="0"/>
    <x v="23"/>
    <x v="11"/>
    <n v="0"/>
    <x v="17"/>
  </r>
  <r>
    <n v="2023"/>
    <n v="104713"/>
    <n v="800214"/>
    <s v="Hyperion Water Reclamation Plant"/>
    <x v="0"/>
    <n v="221320"/>
    <s v="Sewage Treatment Facilities"/>
    <s v="12000 Vista del Mar, Playa del Rey, CA 90293"/>
    <s v="Playa del Rey"/>
    <s v="California"/>
    <n v="90293"/>
    <n v="33.924999999999997"/>
    <n v="-118.431"/>
    <s v="CA06037980028"/>
    <s v="Los Angeles"/>
    <s v="South Coast AQMD"/>
    <s v="South Coast"/>
    <x v="0"/>
    <n v="96072"/>
    <n v="39449"/>
    <n v="56623"/>
    <n v="95740"/>
    <n v="4.22"/>
    <n v="0.76"/>
    <x v="179"/>
    <n v="14.6"/>
    <x v="205"/>
    <x v="45"/>
    <n v="6.2"/>
    <x v="139"/>
  </r>
  <r>
    <n v="2023"/>
    <n v="104714"/>
    <m/>
    <s v="Tuscarora Gas Transmission - Shoetree Compressor Station"/>
    <x v="5"/>
    <n v="486210"/>
    <s v="Pipeline Transportation of Natural Gas"/>
    <s v="730-005 Deep Cut Road, Litchfield, CA 96117"/>
    <s v="Litchfield"/>
    <s v="California"/>
    <n v="96117"/>
    <n v="40.512999999999998"/>
    <n v="-120.264"/>
    <s v="CA06035040100"/>
    <s v="Lassen"/>
    <s v="Lassen County APCD"/>
    <s v="Northeast Plateau"/>
    <x v="1"/>
    <n v="17601"/>
    <n v="17601"/>
    <n v="0"/>
    <n v="12754"/>
    <n v="193.59"/>
    <n v="0.02"/>
    <x v="0"/>
    <n v="0"/>
    <x v="23"/>
    <x v="11"/>
    <n v="0"/>
    <x v="17"/>
  </r>
  <r>
    <n v="2023"/>
    <n v="104730"/>
    <n v="11998"/>
    <s v="Goodrich Corporation"/>
    <x v="0"/>
    <n v="336413"/>
    <s v="Other Aircraft Parts and Auxiliary Equipment Manufacturing"/>
    <s v="11120 S Norwalk Blvd, Santa Fe Springs, CA 90670"/>
    <s v="Santa Fe Springs"/>
    <s v="California"/>
    <n v="90670"/>
    <n v="33.930999999999997"/>
    <n v="-118.072"/>
    <s v="CA06037502802"/>
    <s v="Los Angeles"/>
    <s v="South Coast AQMD"/>
    <s v="South Coast"/>
    <x v="1"/>
    <n v="10799"/>
    <n v="10799"/>
    <n v="0"/>
    <n v="10788"/>
    <n v="0.2"/>
    <n v="0.02"/>
    <x v="0"/>
    <n v="2"/>
    <x v="162"/>
    <x v="8"/>
    <n v="1.8"/>
    <x v="71"/>
  </r>
  <r>
    <n v="2023"/>
    <n v="104733"/>
    <n v="153"/>
    <s v="PABCO Gypsum Newark"/>
    <x v="0"/>
    <n v="327420"/>
    <s v="Gypsum Product Manufacturing"/>
    <s v="37851 Cherry St, Newark, CA 94536"/>
    <s v="Newark"/>
    <s v="California"/>
    <n v="94536"/>
    <n v="37.527000000000001"/>
    <n v="-122.023"/>
    <s v="CA06001444601"/>
    <s v="Alameda"/>
    <s v="Bay Area AQMD"/>
    <s v="San Francisco Bay Area"/>
    <x v="0"/>
    <n v="31768"/>
    <n v="31768"/>
    <n v="0"/>
    <n v="31735"/>
    <n v="0.6"/>
    <n v="0.06"/>
    <x v="180"/>
    <n v="1.7"/>
    <x v="153"/>
    <x v="21"/>
    <n v="11"/>
    <x v="140"/>
  </r>
  <r>
    <n v="2023"/>
    <n v="104734"/>
    <n v="346"/>
    <s v="Frito Lay - Rancho Cucamonga"/>
    <x v="0"/>
    <n v="311919"/>
    <s v="Other Snack Food Manufacturing"/>
    <s v="9535 Archibald Avenue, Rancho Cucamonga, CA 91730"/>
    <s v="Rancho Cucamonga"/>
    <s v="California"/>
    <n v="91730"/>
    <n v="34.08"/>
    <n v="-117.59099999999999"/>
    <s v="CA06071002110"/>
    <s v="San Bernardino"/>
    <s v="South Coast AQMD"/>
    <s v="South Coast"/>
    <x v="1"/>
    <n v="9304"/>
    <n v="9304"/>
    <n v="0"/>
    <n v="9295"/>
    <n v="0.18"/>
    <n v="0.02"/>
    <x v="0"/>
    <n v="1.7"/>
    <x v="21"/>
    <x v="8"/>
    <n v="6.8"/>
    <x v="141"/>
  </r>
  <r>
    <n v="2023"/>
    <n v="104736"/>
    <m/>
    <s v="California State Prison - Sacramento"/>
    <x v="0"/>
    <n v="922140"/>
    <s v="Correctional Institutions"/>
    <s v="100 Prison Road, Represa, CA 95671"/>
    <s v="Represa"/>
    <s v="California"/>
    <n v="95671"/>
    <n v="38.688000000000002"/>
    <n v="-121.16"/>
    <s v="CA06067008402"/>
    <s v="Sacramento"/>
    <s v="Sacramento Metropolitan AQMD"/>
    <s v="Sacramento Valley"/>
    <x v="1"/>
    <n v="17182"/>
    <n v="17182"/>
    <n v="0"/>
    <n v="17164"/>
    <n v="0.32"/>
    <n v="0.03"/>
    <x v="0"/>
    <n v="0"/>
    <x v="23"/>
    <x v="11"/>
    <n v="0"/>
    <x v="17"/>
  </r>
  <r>
    <n v="2023"/>
    <n v="104737"/>
    <n v="132"/>
    <s v="Milk Specialties Global"/>
    <x v="0"/>
    <n v="311514"/>
    <s v="Dry, Condensed, and Evaporated Dairy Product Manufacturing"/>
    <s v="715 N. Divisadero, Visalia, CA 93291"/>
    <s v="Visalia"/>
    <s v="California"/>
    <n v="93291"/>
    <n v="36.337000000000003"/>
    <n v="-119.31100000000001"/>
    <s v="CA06107001100"/>
    <s v="Tulare"/>
    <s v="San Joaquin Valley APCD"/>
    <s v="San Joaquin Valley"/>
    <x v="1"/>
    <n v="21143"/>
    <n v="21143"/>
    <n v="0"/>
    <n v="21121"/>
    <n v="0.4"/>
    <n v="0.04"/>
    <x v="0"/>
    <n v="0.7"/>
    <x v="194"/>
    <x v="16"/>
    <n v="3.2"/>
    <x v="111"/>
  </r>
  <r>
    <n v="2023"/>
    <n v="104738"/>
    <n v="450"/>
    <s v="Palo Alto V.A. Health Care System Division"/>
    <x v="0"/>
    <n v="622110"/>
    <s v="General Medical and Surgical Hospitals"/>
    <s v="3801 Mirada Avenue, Palo Alto, CA 94304"/>
    <s v="Palo Alto"/>
    <s v="California"/>
    <n v="94304"/>
    <n v="37.417000000000002"/>
    <n v="-122.16800000000001"/>
    <s v="CA06085511500"/>
    <s v="Santa Clara"/>
    <s v="Bay Area AQMD"/>
    <s v="San Francisco Bay Area"/>
    <x v="1"/>
    <n v="11536"/>
    <n v="11536"/>
    <n v="0"/>
    <n v="11524"/>
    <n v="0.22"/>
    <n v="0.02"/>
    <x v="0"/>
    <n v="0.8"/>
    <x v="206"/>
    <x v="11"/>
    <n v="0.3"/>
    <x v="24"/>
  </r>
  <r>
    <n v="2023"/>
    <n v="104743"/>
    <n v="2282"/>
    <s v="Central Valley Meat"/>
    <x v="0"/>
    <n v="311611"/>
    <s v="Animal (except Poultry) Slaughtering"/>
    <s v="10431 8 3/4 avenue, Hanford, CA 93230"/>
    <s v="Hanford"/>
    <s v="California"/>
    <n v="93230"/>
    <n v="36.322000000000003"/>
    <n v="-119.61199999999999"/>
    <s v="CA06031000800"/>
    <s v="Kings"/>
    <s v="San Joaquin Valley APCD"/>
    <s v="San Joaquin Valley"/>
    <x v="1"/>
    <n v="24740"/>
    <n v="24740"/>
    <n v="0"/>
    <n v="24714"/>
    <n v="0.47"/>
    <n v="0.05"/>
    <x v="0"/>
    <n v="0.4"/>
    <x v="202"/>
    <x v="21"/>
    <n v="0.5"/>
    <x v="58"/>
  </r>
  <r>
    <n v="2023"/>
    <n v="104746"/>
    <n v="1179"/>
    <s v="Waste Management - Redwood Landfill, Inc."/>
    <x v="0"/>
    <n v="562212"/>
    <s v="Solid Waste Landfill"/>
    <s v="8950 Redwood Highway, Novato, CA 94945"/>
    <s v="Novato"/>
    <s v="California"/>
    <n v="94945"/>
    <n v="38.165999999999997"/>
    <n v="-122.563"/>
    <s v="CA06041101100"/>
    <s v="Marin"/>
    <s v="Bay Area AQMD"/>
    <s v="San Francisco Bay Area"/>
    <x v="1"/>
    <n v="3491"/>
    <n v="18"/>
    <n v="3473"/>
    <n v="3473"/>
    <n v="0.21"/>
    <n v="0.04"/>
    <x v="0"/>
    <n v="102.4"/>
    <x v="207"/>
    <x v="87"/>
    <n v="93.4"/>
    <x v="142"/>
  </r>
  <r>
    <n v="2023"/>
    <n v="104766"/>
    <n v="2637"/>
    <s v="Sierra Resources Santa Barbara Basin"/>
    <x v="5"/>
    <n v="211111"/>
    <s v="Crude Petroleum and Natural Gas Extraction"/>
    <s v="9500 US Highway 101, Los Alamos, CA 93440"/>
    <s v="Los Alamos"/>
    <s v="California"/>
    <n v="93440"/>
    <n v="34.712000000000003"/>
    <n v="-120.245"/>
    <s v="CA06083001901"/>
    <s v="Santa Barbara"/>
    <s v="Santa Barbara County APCD"/>
    <s v="South Central Coast"/>
    <x v="1"/>
    <n v="8"/>
    <n v="8"/>
    <n v="0"/>
    <n v="8"/>
    <n v="0"/>
    <n v="0"/>
    <x v="0"/>
    <n v="30.9"/>
    <x v="208"/>
    <x v="88"/>
    <n v="2.2000000000000002"/>
    <x v="49"/>
  </r>
  <r>
    <n v="2023"/>
    <n v="104783"/>
    <n v="4207"/>
    <s v="Vaquero Energy - Santa Barbara County"/>
    <x v="5"/>
    <n v="211111"/>
    <s v="Crude Petroleum and Natural Gas Extraction"/>
    <s v="4099 Orcutt Garey Rd., Santa Maria, CA 93454"/>
    <s v="Santa Maria"/>
    <s v="California"/>
    <n v="93454"/>
    <n v="34.880000000000003"/>
    <n v="-120.321"/>
    <s v="CA06083002006"/>
    <s v="Santa Barbara"/>
    <s v="Santa Barbara County APCD"/>
    <s v="South Central Coast"/>
    <x v="1"/>
    <n v="11683"/>
    <n v="11683"/>
    <n v="0"/>
    <n v="11140"/>
    <n v="21.46"/>
    <n v="0.02"/>
    <x v="0"/>
    <n v="10.1"/>
    <x v="209"/>
    <x v="89"/>
    <n v="1.1000000000000001"/>
    <x v="60"/>
  </r>
  <r>
    <n v="2023"/>
    <n v="104792"/>
    <n v="512"/>
    <s v="Setton Pistachio of Terra Bella, Inc"/>
    <x v="0"/>
    <n v="311911"/>
    <s v="Roasted Nuts and Peanut Butter Manufacturing"/>
    <s v="9370 Rd. 234, Terra Bella, CA 93270"/>
    <s v="Terra Bella"/>
    <s v="California"/>
    <n v="93270"/>
    <n v="35.959000000000003"/>
    <n v="-119.04900000000001"/>
    <s v="CA06107004500"/>
    <s v="Tulare"/>
    <s v="San Joaquin Valley APCD"/>
    <s v="San Joaquin Valley"/>
    <x v="1"/>
    <n v="13536"/>
    <n v="13536"/>
    <n v="0"/>
    <n v="13522"/>
    <n v="0.26"/>
    <n v="0.03"/>
    <x v="0"/>
    <n v="0.7"/>
    <x v="149"/>
    <x v="19"/>
    <n v="1.9"/>
    <x v="11"/>
  </r>
  <r>
    <n v="2023"/>
    <n v="104796"/>
    <n v="23725"/>
    <s v="AAK Richmond"/>
    <x v="0"/>
    <n v="311225"/>
    <s v="Fats and Oils Refining and Blending"/>
    <s v="1145 Harbour Way S, Richmond, CA 94804"/>
    <s v="Richmond"/>
    <s v="California"/>
    <n v="94804"/>
    <n v="37.918999999999997"/>
    <n v="-122.36"/>
    <s v="CA06013378000"/>
    <s v="Contra Costa"/>
    <s v="Bay Area AQMD"/>
    <s v="San Francisco Bay Area"/>
    <x v="1"/>
    <n v="13629"/>
    <n v="13629"/>
    <n v="0"/>
    <n v="13615"/>
    <n v="0.26"/>
    <n v="0.03"/>
    <x v="0"/>
    <n v="0.1"/>
    <x v="26"/>
    <x v="11"/>
    <n v="0.1"/>
    <x v="137"/>
  </r>
  <r>
    <n v="2023"/>
    <n v="104797"/>
    <n v="2236"/>
    <s v="SunOpta Aseptic"/>
    <x v="0"/>
    <n v="312111"/>
    <s v="Soft Drink Manufacturing"/>
    <s v="555 Mariposa Rd, Modesto, CA 95354"/>
    <s v="Modesto"/>
    <s v="California"/>
    <n v="95354"/>
    <n v="37.634"/>
    <n v="-120.935"/>
    <s v="CA06099002002"/>
    <s v="Stanislaus"/>
    <s v="San Joaquin Valley APCD"/>
    <s v="San Joaquin Valley"/>
    <x v="1"/>
    <n v="10362"/>
    <n v="10362"/>
    <n v="0"/>
    <n v="10351"/>
    <n v="0.2"/>
    <n v="0.02"/>
    <x v="0"/>
    <n v="0.5"/>
    <x v="161"/>
    <x v="40"/>
    <n v="0.7"/>
    <x v="104"/>
  </r>
  <r>
    <n v="2023"/>
    <n v="104801"/>
    <n v="17456"/>
    <s v="Peet's Coffee"/>
    <x v="0"/>
    <n v="311920"/>
    <s v="Coffee and Tea Manufacturing"/>
    <s v="2001 Harbor Bay Parkway, Alameda, CA 94502"/>
    <s v="Alameda"/>
    <s v="California"/>
    <n v="94502"/>
    <n v="37.728000000000002"/>
    <n v="-122.246"/>
    <s v="CA06001428301"/>
    <s v="Alameda"/>
    <s v="Bay Area AQMD"/>
    <s v="San Francisco Bay Area"/>
    <x v="1"/>
    <n v="10221"/>
    <n v="10221"/>
    <n v="0"/>
    <n v="10210"/>
    <n v="0.19"/>
    <n v="0.02"/>
    <x v="0"/>
    <n v="5"/>
    <x v="120"/>
    <x v="11"/>
    <n v="15.5"/>
    <x v="143"/>
  </r>
  <r>
    <n v="2023"/>
    <n v="104805"/>
    <m/>
    <s v="MATRIX OIL CORP"/>
    <x v="5"/>
    <n v="211111"/>
    <s v="Crude Petroleum and Natural Gas Extraction"/>
    <s v="459 West Road, La Habra Heights, CA 90631"/>
    <s v="La Habra Heights"/>
    <s v="California"/>
    <n v="90631"/>
    <n v="33.956000000000003"/>
    <n v="-117.968"/>
    <s v="CA06037500201"/>
    <s v="Los Angeles"/>
    <s v="South Coast AQMD"/>
    <s v="South Coast"/>
    <x v="1"/>
    <n v="13022"/>
    <n v="13022"/>
    <n v="0"/>
    <n v="11377"/>
    <n v="65.27"/>
    <n v="0.04"/>
    <x v="0"/>
    <n v="0"/>
    <x v="23"/>
    <x v="11"/>
    <n v="0"/>
    <x v="17"/>
  </r>
  <r>
    <n v="2023"/>
    <n v="104836"/>
    <n v="275"/>
    <s v="Ventura Coastal LLC"/>
    <x v="0"/>
    <n v="311411"/>
    <s v="Frozen Fruit, Juice, and Vegetable Manufacturing"/>
    <s v="531 W. Poplar, Tipton, CA 93272"/>
    <s v="Tipton"/>
    <s v="California"/>
    <n v="93272"/>
    <n v="36.051000000000002"/>
    <n v="-119.315"/>
    <s v="CA06107003200"/>
    <s v="Tulare"/>
    <s v="San Joaquin Valley APCD"/>
    <s v="San Joaquin Valley"/>
    <x v="1"/>
    <n v="11699"/>
    <n v="11699"/>
    <n v="0"/>
    <n v="11687"/>
    <n v="0.22"/>
    <n v="0.02"/>
    <x v="0"/>
    <n v="0.6"/>
    <x v="202"/>
    <x v="40"/>
    <n v="0.9"/>
    <x v="20"/>
  </r>
  <r>
    <n v="2023"/>
    <n v="104838"/>
    <n v="1510"/>
    <s v="Vaquero Energy - Kern County"/>
    <x v="5"/>
    <n v="211111"/>
    <s v="Crude Petroleum and Natural Gas Extraction"/>
    <s v="15545 Hermosa Rd., Bakersfield, CA 93307"/>
    <s v="Bakersfield"/>
    <s v="California"/>
    <n v="93307"/>
    <n v="35.311"/>
    <n v="-118.831"/>
    <s v="CA06029006202"/>
    <s v="Kern"/>
    <s v="San Joaquin Valley APCD"/>
    <s v="San Joaquin Valley"/>
    <x v="1"/>
    <n v="5101"/>
    <n v="5101"/>
    <n v="0"/>
    <n v="1592"/>
    <n v="140.30000000000001"/>
    <n v="0"/>
    <x v="0"/>
    <n v="0.1"/>
    <x v="65"/>
    <x v="11"/>
    <n v="0.1"/>
    <x v="137"/>
  </r>
  <r>
    <n v="2023"/>
    <n v="104844"/>
    <n v="9149"/>
    <s v="Valley Milk, LLC"/>
    <x v="0"/>
    <n v="311514"/>
    <s v="Dry, Condensed, and Evaporated Dairy Product Manufacturing"/>
    <s v="400 N Washington Rd, Turlock, CA 95380"/>
    <s v="Turlock"/>
    <s v="California"/>
    <n v="95380"/>
    <n v="37.496000000000002"/>
    <n v="-120.90300000000001"/>
    <s v="CA06099003603"/>
    <s v="Stanislaus"/>
    <s v="San Joaquin Valley APCD"/>
    <s v="San Joaquin Valley"/>
    <x v="1"/>
    <n v="15419"/>
    <n v="15419"/>
    <n v="0"/>
    <n v="15403"/>
    <n v="0.28999999999999998"/>
    <n v="0.03"/>
    <x v="0"/>
    <n v="0.6"/>
    <x v="66"/>
    <x v="40"/>
    <n v="1.8"/>
    <x v="127"/>
  </r>
  <r>
    <n v="2023"/>
    <n v="104848"/>
    <m/>
    <s v="BlueScope Coated Products"/>
    <x v="0"/>
    <n v="332812"/>
    <s v="Metal Coating, Engraving (except Jewelry and Silverware), and Allied Services to Manufacturers"/>
    <s v="9123 Center Ave, Rancho Cucamonga, CA 91730"/>
    <s v="Rancho Cucamonga"/>
    <s v="California"/>
    <n v="91730"/>
    <n v="34.088000000000001"/>
    <n v="-117.58"/>
    <s v="CA06071002110"/>
    <s v="San Bernardino"/>
    <s v="South Coast AQMD"/>
    <s v="South Coast"/>
    <x v="1"/>
    <n v="7280"/>
    <n v="7280"/>
    <n v="0"/>
    <n v="7272"/>
    <n v="0.14000000000000001"/>
    <n v="0.01"/>
    <x v="0"/>
    <n v="0"/>
    <x v="23"/>
    <x v="11"/>
    <n v="0"/>
    <x v="17"/>
  </r>
  <r>
    <n v="2023"/>
    <n v="104871"/>
    <n v="17052"/>
    <s v="BioMarin Pharmaceutical Inc."/>
    <x v="0"/>
    <n v="325412"/>
    <s v="Pharmaceutical Preparation Manufacturing"/>
    <s v="46 Galli Dr., Novato, CA 94949"/>
    <s v="Novato"/>
    <s v="California"/>
    <n v="94949"/>
    <n v="38.072000000000003"/>
    <n v="-122.53400000000001"/>
    <s v="CA06041105000"/>
    <s v="Marin"/>
    <s v="Bay Area AQMD"/>
    <s v="San Francisco Bay Area"/>
    <x v="1"/>
    <n v="11472"/>
    <n v="11472"/>
    <n v="0"/>
    <n v="11461"/>
    <n v="0.22"/>
    <n v="0.02"/>
    <x v="0"/>
    <n v="12.2"/>
    <x v="210"/>
    <x v="8"/>
    <n v="1"/>
    <x v="18"/>
  </r>
  <r>
    <n v="2023"/>
    <n v="104881"/>
    <n v="1551"/>
    <s v="Pom Wonderful LLC"/>
    <x v="0"/>
    <n v="311411"/>
    <s v="Frozen Fruit, Juice, and Vegetable Manufacturing"/>
    <s v="5286 S Del Rey Ave, Del Rey, CA 93616"/>
    <s v="Del Rey"/>
    <s v="California"/>
    <n v="93616"/>
    <n v="36.658000000000001"/>
    <n v="-119.59"/>
    <s v="CA06019006900"/>
    <s v="Fresno"/>
    <s v="San Joaquin Valley APCD"/>
    <s v="San Joaquin Valley"/>
    <x v="1"/>
    <n v="7601"/>
    <n v="7601"/>
    <n v="0"/>
    <n v="7593"/>
    <n v="0.14000000000000001"/>
    <n v="0.01"/>
    <x v="0"/>
    <n v="0.2"/>
    <x v="18"/>
    <x v="8"/>
    <n v="0.2"/>
    <x v="48"/>
  </r>
  <r>
    <n v="2023"/>
    <n v="104882"/>
    <n v="1343"/>
    <s v="Victor Packing"/>
    <x v="0"/>
    <n v="311423"/>
    <s v="Dried and Dehydrated Food Manufacturing"/>
    <s v="11687 Road 27 1/2, Madera, CA 93637"/>
    <s v="Madera"/>
    <s v="California"/>
    <n v="93637"/>
    <n v="36.918999999999997"/>
    <n v="-120.04600000000001"/>
    <s v="CA06039001000"/>
    <s v="Madera"/>
    <s v="San Joaquin Valley APCD"/>
    <s v="San Joaquin Valley"/>
    <x v="1"/>
    <n v="9394"/>
    <n v="9394"/>
    <n v="0"/>
    <n v="9385"/>
    <n v="0.18"/>
    <n v="0.02"/>
    <x v="0"/>
    <n v="2.2999999999999998"/>
    <x v="71"/>
    <x v="90"/>
    <n v="1.1000000000000001"/>
    <x v="60"/>
  </r>
  <r>
    <n v="2023"/>
    <n v="104884"/>
    <n v="110096"/>
    <s v="Swisstex California"/>
    <x v="0"/>
    <n v="313210"/>
    <s v="Broadwoven Fabric Mills"/>
    <s v="13660 S. Figueroa St, Los Angeles, CA 90061"/>
    <s v="Los Angeles"/>
    <s v="California"/>
    <n v="90061"/>
    <n v="33.908000000000001"/>
    <n v="-118.282"/>
    <s v="CA06037540902"/>
    <s v="Los Angeles"/>
    <s v="South Coast AQMD"/>
    <s v="South Coast"/>
    <x v="1"/>
    <n v="8616"/>
    <n v="8616"/>
    <n v="0"/>
    <n v="8607"/>
    <n v="0.16"/>
    <n v="0.02"/>
    <x v="0"/>
    <n v="0.5"/>
    <x v="103"/>
    <x v="11"/>
    <n v="0.6"/>
    <x v="28"/>
  </r>
  <r>
    <n v="2023"/>
    <n v="104886"/>
    <n v="31"/>
    <s v="Specialty Granules LLC"/>
    <x v="0"/>
    <n v="212319"/>
    <s v="Other Crushed and Broken Stone Mining and Quarrying"/>
    <s v="1900 Highway 104, Ione, CA 95640"/>
    <s v="Ione"/>
    <s v="California"/>
    <n v="95640"/>
    <n v="38.378"/>
    <n v="-120.991"/>
    <s v="CA06005000303"/>
    <s v="Amador"/>
    <s v="Amador County APCD"/>
    <s v="Mountain Counties"/>
    <x v="1"/>
    <n v="12485"/>
    <n v="12485"/>
    <n v="0"/>
    <n v="12467"/>
    <n v="0.28000000000000003"/>
    <n v="0.04"/>
    <x v="0"/>
    <n v="4.2"/>
    <x v="211"/>
    <x v="91"/>
    <n v="11.4"/>
    <x v="79"/>
  </r>
  <r>
    <n v="2023"/>
    <n v="104887"/>
    <n v="1319"/>
    <s v="Hanford Grain Company, LLC"/>
    <x v="0"/>
    <n v="311119"/>
    <s v="Other Animal Food Manufacturing_x0009_"/>
    <s v="10495 Idaho Ave, Hanford, CA 93230"/>
    <s v="Hanford"/>
    <s v="California"/>
    <n v="93230"/>
    <n v="36.268999999999998"/>
    <n v="-119.645"/>
    <s v="CA06031001200"/>
    <s v="Kings"/>
    <s v="San Joaquin Valley APCD"/>
    <s v="San Joaquin Valley"/>
    <x v="1"/>
    <n v="10209"/>
    <n v="10209"/>
    <n v="0"/>
    <n v="10199"/>
    <n v="0.19"/>
    <n v="0.02"/>
    <x v="0"/>
    <n v="0.3"/>
    <x v="135"/>
    <x v="8"/>
    <n v="3.3"/>
    <x v="58"/>
  </r>
  <r>
    <n v="2023"/>
    <n v="104888"/>
    <n v="184301"/>
    <s v="Sentinel Peak Resources - Los Angeles Basin"/>
    <x v="5"/>
    <n v="211111"/>
    <s v="Crude Petroleum and Natural Gas Extraction"/>
    <s v="5640 S Fairfax Ave, Los Angeles, CA 91750"/>
    <s v="Los Angeles"/>
    <s v="California"/>
    <n v="91750"/>
    <n v="34.005000000000003"/>
    <n v="-118.371"/>
    <s v="CA06037236000"/>
    <s v="Los Angeles"/>
    <s v="South Coast AQMD"/>
    <s v="South Coast"/>
    <x v="1"/>
    <n v="14406"/>
    <n v="14406"/>
    <n v="0"/>
    <n v="14077"/>
    <n v="12.98"/>
    <n v="0.02"/>
    <x v="0"/>
    <n v="14.8"/>
    <x v="77"/>
    <x v="11"/>
    <n v="0.2"/>
    <x v="48"/>
  </r>
  <r>
    <n v="2023"/>
    <n v="104892"/>
    <n v="16004"/>
    <s v="Sunsweet Growers Inc"/>
    <x v="0"/>
    <n v="311423"/>
    <s v="Dried and Dehydrated Food Manufacturing"/>
    <s v="901 N. Walton Ave, Yuba City, CA 95993"/>
    <s v="Yuba City"/>
    <s v="California"/>
    <n v="95993"/>
    <n v="39.137"/>
    <n v="-121.64"/>
    <s v="CA06101050501"/>
    <s v="Sutter"/>
    <s v="Feather River AQMD"/>
    <s v="Sacramento Valley"/>
    <x v="1"/>
    <n v="16936"/>
    <n v="16936"/>
    <n v="0"/>
    <n v="16918"/>
    <n v="0.32"/>
    <n v="0.03"/>
    <x v="0"/>
    <n v="2.2000000000000002"/>
    <x v="183"/>
    <x v="27"/>
    <n v="3"/>
    <x v="40"/>
  </r>
  <r>
    <n v="2023"/>
    <n v="104895"/>
    <n v="15794"/>
    <s v="Nissin Foods USA"/>
    <x v="0"/>
    <n v="311423"/>
    <s v="Dried and Dehydrated Food Manufacturing"/>
    <s v="2001 W. Rosecrans Avenue, Gardena, CA 90249"/>
    <s v="Gardena"/>
    <s v="California"/>
    <n v="90249"/>
    <n v="33.902999999999999"/>
    <n v="-118.31399999999999"/>
    <s v="CA06037602900"/>
    <s v="Los Angeles"/>
    <s v="South Coast AQMD"/>
    <s v="South Coast"/>
    <x v="1"/>
    <n v="11453"/>
    <n v="11453"/>
    <n v="0"/>
    <n v="11441"/>
    <n v="0.22"/>
    <n v="0.02"/>
    <x v="0"/>
    <n v="5"/>
    <x v="158"/>
    <x v="8"/>
    <n v="1.9"/>
    <x v="122"/>
  </r>
  <r>
    <n v="2023"/>
    <n v="104899"/>
    <m/>
    <s v="Altman Specialty Plants"/>
    <x v="0"/>
    <n v="111421"/>
    <s v="Nursery and Tree Production"/>
    <s v="420 Espinosa Rd, Salinas, CA 93907"/>
    <s v="Salinas"/>
    <s v="California"/>
    <n v="93907"/>
    <n v="36.734999999999999"/>
    <n v="-121.676"/>
    <s v="CA06053010504"/>
    <s v="Monterey"/>
    <s v="Monterey Bay ARD"/>
    <s v="North Central Coast"/>
    <x v="1"/>
    <n v="7617"/>
    <n v="7617"/>
    <n v="0"/>
    <n v="7609"/>
    <n v="0.14000000000000001"/>
    <n v="0.01"/>
    <x v="0"/>
    <n v="0"/>
    <x v="23"/>
    <x v="11"/>
    <n v="0"/>
    <x v="17"/>
  </r>
  <r>
    <n v="2023"/>
    <n v="104901"/>
    <n v="6971"/>
    <s v="Crimson Renewable Energy - Bakersfield Plant"/>
    <x v="0"/>
    <n v="325199"/>
    <s v="All Other Basic Organic Chemical Manufacturing"/>
    <s v="17731 Millux Rd, Bakersfield, CA 93311"/>
    <s v="Bakersfield"/>
    <s v="California"/>
    <n v="93311"/>
    <n v="35.177999999999997"/>
    <n v="-119.161"/>
    <s v="CA06029003304"/>
    <s v="Kern"/>
    <s v="San Joaquin Valley APCD"/>
    <s v="San Joaquin Valley"/>
    <x v="1"/>
    <n v="20516"/>
    <n v="20516"/>
    <n v="0"/>
    <n v="20495"/>
    <n v="0.39"/>
    <n v="0.04"/>
    <x v="0"/>
    <n v="1.2"/>
    <x v="209"/>
    <x v="16"/>
    <n v="1.2"/>
    <x v="11"/>
  </r>
  <r>
    <n v="2023"/>
    <n v="104908"/>
    <n v="7122"/>
    <s v="California Paper Products, LLC"/>
    <x v="0"/>
    <n v="424130"/>
    <s v="Industrial and Personal Service Paper Merchant Wholesalers"/>
    <s v="5901 Zerker Road, Shafter, CA 93263"/>
    <s v="Shafter"/>
    <s v="California"/>
    <n v="93263"/>
    <n v="35.493000000000002"/>
    <n v="-119.172"/>
    <s v="CA06029003900"/>
    <s v="Kern"/>
    <s v="San Joaquin Valley APCD"/>
    <s v="San Joaquin Valley"/>
    <x v="1"/>
    <n v="11418"/>
    <n v="11418"/>
    <n v="0"/>
    <n v="11407"/>
    <n v="0.22"/>
    <n v="0.02"/>
    <x v="0"/>
    <n v="0.1"/>
    <x v="65"/>
    <x v="11"/>
    <n v="0.1"/>
    <x v="137"/>
  </r>
  <r>
    <n v="2023"/>
    <n v="104910"/>
    <m/>
    <s v="Heritage Distributing Company DBA Ninth Avenue Foods"/>
    <x v="0"/>
    <n v="311511"/>
    <s v="Fluid Milk Manufacturing"/>
    <s v="425 Ninth Avenue, City of Industry, CA 91746"/>
    <s v="City of Industry"/>
    <s v="California"/>
    <n v="91746"/>
    <n v="34.026000000000003"/>
    <n v="-117.973"/>
    <s v="CA06037408202"/>
    <s v="Los Angeles"/>
    <s v="South Coast AQMD"/>
    <s v="South Coast"/>
    <x v="1"/>
    <n v="13258"/>
    <n v="13258"/>
    <n v="0"/>
    <n v="13244"/>
    <n v="0.25"/>
    <n v="0.03"/>
    <x v="0"/>
    <n v="0"/>
    <x v="23"/>
    <x v="11"/>
    <n v="0"/>
    <x v="17"/>
  </r>
  <r>
    <n v="2023"/>
    <n v="104911"/>
    <n v="3461"/>
    <s v="Building Materials Manufacturing Corporation (DBA GAF)"/>
    <x v="0"/>
    <n v="313230"/>
    <s v="Nonwoven Fabric Mills"/>
    <s v="6505 Zerker Road, Shafter, CA 93263"/>
    <s v="Shafter"/>
    <s v="California"/>
    <n v="93263"/>
    <n v="35.494"/>
    <n v="-119.16"/>
    <s v="CA06029003900"/>
    <s v="Kern"/>
    <s v="San Joaquin Valley APCD"/>
    <s v="San Joaquin Valley"/>
    <x v="1"/>
    <n v="9758"/>
    <n v="9758"/>
    <n v="0"/>
    <n v="9748"/>
    <n v="0.18"/>
    <n v="0.02"/>
    <x v="0"/>
    <n v="2"/>
    <x v="184"/>
    <x v="8"/>
    <n v="0.7"/>
    <x v="104"/>
  </r>
  <r>
    <n v="2023"/>
    <n v="104912"/>
    <n v="282"/>
    <s v="OWB Packers"/>
    <x v="0"/>
    <n v="311611"/>
    <s v="Animal (except Poultry) Slaughtering"/>
    <s v="52 Shank Rd, Brawely, CA 92227"/>
    <s v="Brawley"/>
    <s v="California"/>
    <n v="92227"/>
    <n v="32.997"/>
    <n v="-115.52"/>
    <s v="CA06025010400"/>
    <s v="Imperial"/>
    <s v="Imperial County APCD"/>
    <s v="Salton Sea"/>
    <x v="1"/>
    <n v="16347"/>
    <n v="16347"/>
    <n v="0"/>
    <n v="16330"/>
    <n v="0.31"/>
    <n v="0.03"/>
    <x v="0"/>
    <n v="0"/>
    <x v="183"/>
    <x v="11"/>
    <n v="0.8"/>
    <x v="48"/>
  </r>
  <r>
    <n v="2023"/>
    <n v="104913"/>
    <m/>
    <s v="CalPlant 1 LLC"/>
    <x v="0"/>
    <n v="321219"/>
    <s v="Reconstituted Wood Product Manufacturing"/>
    <s v="6101 State Highway 162, Willows, CA 95988"/>
    <s v="Willows"/>
    <s v="California"/>
    <n v="95988"/>
    <n v="39.521999999999998"/>
    <n v="-122.238"/>
    <s v="CA06021010400"/>
    <s v="Glenn"/>
    <s v="Glenn County APCD"/>
    <s v="Sacramento Valley"/>
    <x v="1"/>
    <n v="3330"/>
    <n v="3330"/>
    <n v="0"/>
    <n v="3327"/>
    <n v="0.06"/>
    <n v="0.01"/>
    <x v="0"/>
    <n v="0"/>
    <x v="23"/>
    <x v="11"/>
    <n v="0"/>
    <x v="17"/>
  </r>
  <r>
    <n v="2023"/>
    <n v="104914"/>
    <n v="148928"/>
    <s v="Tristar Dyeing and Finishing"/>
    <x v="0"/>
    <n v="313310"/>
    <s v="Textile and Fabric Finishing Mills"/>
    <s v="15125 Marquardt Avenue, Santa Fe Springs, CA 90670"/>
    <s v="Santa Fe Springs"/>
    <s v="California"/>
    <n v="90670"/>
    <n v="33.893999999999998"/>
    <n v="-118.038"/>
    <s v="CA06037504102"/>
    <s v="Los Angeles"/>
    <s v="South Coast AQMD"/>
    <s v="South Coast"/>
    <x v="1"/>
    <n v="4954"/>
    <n v="4954"/>
    <n v="0"/>
    <n v="4949"/>
    <n v="0.09"/>
    <n v="0.01"/>
    <x v="0"/>
    <n v="0.3"/>
    <x v="45"/>
    <x v="11"/>
    <n v="0.3"/>
    <x v="24"/>
  </r>
  <r>
    <n v="2023"/>
    <n v="104916"/>
    <m/>
    <s v="California Sugar Refiners, LLC"/>
    <x v="0"/>
    <n v="311314"/>
    <s v="Cane Sugar Manufacturing"/>
    <s v="7122 Enrico Fermi Place, San Diego, CA 92154"/>
    <s v="San Diego"/>
    <s v="California"/>
    <n v="92154"/>
    <n v="32.558999999999997"/>
    <n v="-116.925"/>
    <s v="CA06073010015"/>
    <s v="San Diego"/>
    <s v="San Diego County APCD"/>
    <s v="San Diego"/>
    <x v="1"/>
    <n v="16994"/>
    <n v="16994"/>
    <n v="0"/>
    <n v="16976"/>
    <n v="0.32"/>
    <n v="0.03"/>
    <x v="0"/>
    <n v="0"/>
    <x v="23"/>
    <x v="11"/>
    <n v="0"/>
    <x v="17"/>
  </r>
  <r>
    <n v="2023"/>
    <n v="104917"/>
    <n v="181667"/>
    <s v="Air Products West Coast Hydrogen LLC - Torrance "/>
    <x v="3"/>
    <n v="325120"/>
    <s v="Industrial Gas Manufacturing"/>
    <s v="3700 WEST 190TH STREET, Torrance, CA 90504"/>
    <s v="Torrance"/>
    <s v="California"/>
    <n v="90504"/>
    <n v="33.851999999999997"/>
    <n v="-118.331"/>
    <s v="CA06037980005"/>
    <s v="Los Angeles"/>
    <s v="South Coast AQMD"/>
    <s v="South Coast"/>
    <x v="0"/>
    <n v="886106"/>
    <n v="886106"/>
    <n v="0"/>
    <n v="885387"/>
    <n v="8.4499999999999993"/>
    <n v="1.7"/>
    <x v="181"/>
    <n v="530.5"/>
    <x v="17"/>
    <x v="13"/>
    <n v="99.7"/>
    <x v="16"/>
  </r>
  <r>
    <n v="2023"/>
    <n v="104930"/>
    <m/>
    <s v="San Joaquin Facilities Management"/>
    <x v="5"/>
    <n v="211111"/>
    <s v="Crude Petroleum and Natural Gas Extraction"/>
    <s v="4520 California Ave, Suite 300, Bakersfield, CA 93309"/>
    <s v="Bakersfield"/>
    <s v="California"/>
    <n v="93309"/>
    <n v="35.384"/>
    <n v="-119.063"/>
    <s v="CA06029000507"/>
    <s v="Kern"/>
    <s v="San Joaquin Valley Unified APCD"/>
    <s v="San Joaquin Valley"/>
    <x v="1"/>
    <n v="9351"/>
    <n v="9351"/>
    <n v="0"/>
    <n v="8470"/>
    <n v="35.08"/>
    <n v="0.02"/>
    <x v="0"/>
    <n v="0"/>
    <x v="23"/>
    <x v="11"/>
    <n v="0"/>
    <x v="17"/>
  </r>
  <r>
    <n v="2023"/>
    <n v="104931"/>
    <n v="548"/>
    <s v="Tulare Water Pollution Control Facility"/>
    <x v="0"/>
    <n v="221320"/>
    <s v="Sewage Treatment Facilities"/>
    <s v="1875 South West Street, Tulare, CA 93274"/>
    <s v="Tulare"/>
    <s v="California"/>
    <n v="93274"/>
    <n v="36.183999999999997"/>
    <n v="-119.367"/>
    <s v="CA06107003002"/>
    <s v="Tulare"/>
    <s v="San Joaquin Valley Unified APCD"/>
    <s v="San Joaquin Valley"/>
    <x v="1"/>
    <n v="9325"/>
    <n v="9325"/>
    <n v="0"/>
    <n v="9316"/>
    <n v="0.18"/>
    <n v="0.02"/>
    <x v="0"/>
    <n v="0.7"/>
    <x v="53"/>
    <x v="57"/>
    <n v="0.3"/>
    <x v="24"/>
  </r>
  <r>
    <n v="2023"/>
    <n v="104932"/>
    <n v="14049"/>
    <s v="Maruchan, Inc. - Irvine"/>
    <x v="0"/>
    <n v="311824"/>
    <s v="Dry Pasta, Dough, and Flour Mixes Manufacturing from Purchased Flour"/>
    <s v="1902 Deere Avenue, Irvine, CA 92606"/>
    <s v="Irvine"/>
    <s v="California"/>
    <n v="92606"/>
    <n v="33.698"/>
    <n v="-117.842"/>
    <s v="CA06059075515"/>
    <s v="Orange"/>
    <s v="South Coast AQMD"/>
    <s v="South Coast"/>
    <x v="1"/>
    <n v="10985"/>
    <n v="10985"/>
    <n v="0"/>
    <n v="10974"/>
    <n v="0.21"/>
    <n v="0.02"/>
    <x v="0"/>
    <n v="5.3"/>
    <x v="53"/>
    <x v="8"/>
    <n v="2"/>
    <x v="112"/>
  </r>
  <r>
    <n v="2023"/>
    <n v="104934"/>
    <m/>
    <s v="DBW Power Inc."/>
    <x v="0"/>
    <n v="111419"/>
    <s v="Other Food Crops Grown Under Cover"/>
    <s v="100 Don Bates Way, King City, CA 93930"/>
    <s v="King City"/>
    <s v="California"/>
    <n v="93930"/>
    <n v="36.225000000000001"/>
    <n v="-121.122"/>
    <s v="CA06053011304"/>
    <s v="Monterey"/>
    <s v="Monterey Bay ARD"/>
    <s v="North Central Coast"/>
    <x v="1"/>
    <n v="13036"/>
    <n v="13036"/>
    <n v="0"/>
    <n v="13023"/>
    <n v="0.25"/>
    <n v="0.03"/>
    <x v="0"/>
    <n v="0"/>
    <x v="23"/>
    <x v="11"/>
    <n v="0"/>
    <x v="17"/>
  </r>
  <r>
    <n v="2023"/>
    <n v="104943"/>
    <m/>
    <s v="Tuscarora Gas Transmission - Likely Compressor Station"/>
    <x v="5"/>
    <n v="486210"/>
    <s v="Pipeline Transportation of Natural Gas"/>
    <s v="1020 County Road 187A , Likely, CA 96116"/>
    <s v="Likely"/>
    <s v="California"/>
    <n v="96116"/>
    <n v="41.296999999999997"/>
    <n v="-120.509"/>
    <s v="CA6049000300"/>
    <s v="Modoc"/>
    <s v="Modoc County APCD"/>
    <s v="Northeast Plateau"/>
    <x v="1"/>
    <n v="10478"/>
    <n v="10478"/>
    <n v="0"/>
    <n v="6700"/>
    <n v="150.94"/>
    <n v="0.01"/>
    <x v="0"/>
    <n v="0"/>
    <x v="23"/>
    <x v="11"/>
    <n v="0"/>
    <x v="17"/>
  </r>
  <r>
    <n v="2023"/>
    <n v="104945"/>
    <m/>
    <s v="Kaiser Permanente Fontana"/>
    <x v="0"/>
    <n v="622110"/>
    <s v="General Medical and Surgical Hospitals"/>
    <s v="9961 Sierra Ave. , Fontana, CA 92335"/>
    <s v="Fontana"/>
    <s v="California"/>
    <n v="92335"/>
    <n v="34.073"/>
    <n v="-117.434"/>
    <s v="CA6071003302"/>
    <s v="San Bernardino"/>
    <s v="South Coast AQMD"/>
    <s v="South Coast"/>
    <x v="1"/>
    <n v="10397"/>
    <n v="10397"/>
    <n v="0"/>
    <n v="10386"/>
    <n v="0.2"/>
    <n v="0.02"/>
    <x v="0"/>
    <n v="0"/>
    <x v="23"/>
    <x v="11"/>
    <n v="0"/>
    <x v="17"/>
  </r>
  <r>
    <n v="2023"/>
    <n v="104948"/>
    <m/>
    <s v="Primex Farms LLC"/>
    <x v="0"/>
    <n v="115114"/>
    <s v="Postharvest Crop Activities (except Cotton Ginning)"/>
    <s v="16070 Wildwood Road , Wasco, CA 93280"/>
    <s v="Wasco"/>
    <s v="California"/>
    <n v="93280"/>
    <n v="35.567999999999998"/>
    <n v="0"/>
    <s v="CA6029004500"/>
    <s v="Tulare"/>
    <s v="San Joaquin Valley Unified APCD"/>
    <s v="San Joaquin Valley"/>
    <x v="1"/>
    <n v="14962"/>
    <n v="14962"/>
    <n v="0"/>
    <n v="14946"/>
    <n v="0.28000000000000003"/>
    <n v="0.03"/>
    <x v="182"/>
    <n v="0"/>
    <x v="23"/>
    <x v="11"/>
    <n v="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382A6-EA5C-9A41-A56D-2E1ED072FB2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05:X412" firstHeaderRow="0" firstDataRow="1" firstDataCol="1" rowPageCount="1" colPageCount="1"/>
  <pivotFields count="30">
    <pivotField showAll="0"/>
    <pivotField showAll="0"/>
    <pivotField showAll="0"/>
    <pivotField showAll="0"/>
    <pivotField axis="axisRow" showAll="0">
      <items count="7">
        <item x="1"/>
        <item x="2"/>
        <item x="3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>
      <items count="184">
        <item x="0"/>
        <item x="169"/>
        <item x="55"/>
        <item x="10"/>
        <item x="142"/>
        <item x="22"/>
        <item x="57"/>
        <item x="17"/>
        <item x="6"/>
        <item x="178"/>
        <item x="112"/>
        <item x="151"/>
        <item x="152"/>
        <item x="150"/>
        <item x="182"/>
        <item x="83"/>
        <item x="163"/>
        <item x="120"/>
        <item x="175"/>
        <item x="166"/>
        <item x="173"/>
        <item x="158"/>
        <item x="176"/>
        <item x="135"/>
        <item x="141"/>
        <item x="161"/>
        <item x="119"/>
        <item x="30"/>
        <item x="159"/>
        <item x="149"/>
        <item x="85"/>
        <item x="35"/>
        <item x="123"/>
        <item x="96"/>
        <item x="84"/>
        <item x="104"/>
        <item x="138"/>
        <item x="174"/>
        <item x="19"/>
        <item x="154"/>
        <item x="62"/>
        <item x="46"/>
        <item x="165"/>
        <item x="162"/>
        <item x="56"/>
        <item x="13"/>
        <item x="113"/>
        <item x="89"/>
        <item x="144"/>
        <item x="130"/>
        <item x="177"/>
        <item x="74"/>
        <item x="117"/>
        <item x="75"/>
        <item x="124"/>
        <item x="106"/>
        <item x="180"/>
        <item x="59"/>
        <item x="33"/>
        <item x="36"/>
        <item x="47"/>
        <item x="51"/>
        <item x="18"/>
        <item x="41"/>
        <item x="156"/>
        <item x="26"/>
        <item x="139"/>
        <item x="167"/>
        <item x="12"/>
        <item x="107"/>
        <item x="115"/>
        <item x="48"/>
        <item x="94"/>
        <item x="114"/>
        <item x="111"/>
        <item x="32"/>
        <item x="110"/>
        <item x="179"/>
        <item x="160"/>
        <item x="54"/>
        <item x="147"/>
        <item x="44"/>
        <item x="164"/>
        <item x="99"/>
        <item x="27"/>
        <item x="118"/>
        <item x="88"/>
        <item x="24"/>
        <item x="172"/>
        <item x="98"/>
        <item x="8"/>
        <item x="16"/>
        <item x="81"/>
        <item x="121"/>
        <item x="108"/>
        <item x="82"/>
        <item x="73"/>
        <item x="90"/>
        <item x="31"/>
        <item x="67"/>
        <item x="153"/>
        <item x="69"/>
        <item x="168"/>
        <item x="61"/>
        <item x="143"/>
        <item x="157"/>
        <item x="137"/>
        <item x="126"/>
        <item x="87"/>
        <item x="50"/>
        <item x="58"/>
        <item x="125"/>
        <item x="70"/>
        <item x="66"/>
        <item x="42"/>
        <item x="52"/>
        <item x="95"/>
        <item x="45"/>
        <item x="77"/>
        <item x="37"/>
        <item x="68"/>
        <item x="4"/>
        <item x="92"/>
        <item x="49"/>
        <item x="60"/>
        <item x="128"/>
        <item x="100"/>
        <item x="39"/>
        <item x="122"/>
        <item x="131"/>
        <item x="103"/>
        <item x="171"/>
        <item x="78"/>
        <item x="101"/>
        <item x="105"/>
        <item x="93"/>
        <item x="102"/>
        <item x="71"/>
        <item x="34"/>
        <item x="129"/>
        <item x="97"/>
        <item x="38"/>
        <item x="7"/>
        <item x="145"/>
        <item x="109"/>
        <item x="136"/>
        <item x="11"/>
        <item x="170"/>
        <item x="14"/>
        <item x="79"/>
        <item x="25"/>
        <item x="155"/>
        <item x="86"/>
        <item x="140"/>
        <item x="116"/>
        <item x="64"/>
        <item x="72"/>
        <item x="65"/>
        <item x="76"/>
        <item x="127"/>
        <item x="3"/>
        <item x="181"/>
        <item x="146"/>
        <item x="28"/>
        <item x="43"/>
        <item x="148"/>
        <item x="53"/>
        <item x="15"/>
        <item x="40"/>
        <item x="9"/>
        <item x="21"/>
        <item x="1"/>
        <item x="132"/>
        <item x="2"/>
        <item x="133"/>
        <item x="91"/>
        <item x="20"/>
        <item x="134"/>
        <item x="23"/>
        <item x="5"/>
        <item x="29"/>
        <item x="80"/>
        <item x="63"/>
        <item t="default"/>
      </items>
    </pivotField>
    <pivotField numFmtId="2" showAll="0"/>
    <pivotField dataField="1" numFmtId="2" showAll="0"/>
    <pivotField dataField="1" numFmtId="2" showAll="0">
      <items count="93">
        <item x="11"/>
        <item x="8"/>
        <item x="21"/>
        <item x="40"/>
        <item x="19"/>
        <item x="6"/>
        <item x="16"/>
        <item x="27"/>
        <item x="45"/>
        <item x="20"/>
        <item x="12"/>
        <item x="28"/>
        <item x="10"/>
        <item x="66"/>
        <item x="31"/>
        <item x="61"/>
        <item x="5"/>
        <item x="34"/>
        <item x="14"/>
        <item x="76"/>
        <item x="17"/>
        <item x="7"/>
        <item x="44"/>
        <item x="89"/>
        <item x="29"/>
        <item x="78"/>
        <item x="68"/>
        <item x="85"/>
        <item x="91"/>
        <item x="60"/>
        <item x="57"/>
        <item x="51"/>
        <item x="84"/>
        <item x="33"/>
        <item x="63"/>
        <item x="83"/>
        <item x="69"/>
        <item x="88"/>
        <item x="43"/>
        <item x="3"/>
        <item x="41"/>
        <item x="80"/>
        <item x="77"/>
        <item x="23"/>
        <item x="62"/>
        <item x="47"/>
        <item x="38"/>
        <item x="56"/>
        <item x="74"/>
        <item x="79"/>
        <item x="81"/>
        <item x="35"/>
        <item x="46"/>
        <item x="26"/>
        <item x="82"/>
        <item x="73"/>
        <item x="71"/>
        <item x="90"/>
        <item x="36"/>
        <item x="64"/>
        <item x="2"/>
        <item x="49"/>
        <item x="52"/>
        <item x="72"/>
        <item x="53"/>
        <item x="4"/>
        <item x="87"/>
        <item x="59"/>
        <item x="54"/>
        <item x="58"/>
        <item x="65"/>
        <item x="24"/>
        <item x="75"/>
        <item x="48"/>
        <item x="37"/>
        <item x="1"/>
        <item x="67"/>
        <item x="0"/>
        <item x="22"/>
        <item x="39"/>
        <item x="86"/>
        <item x="25"/>
        <item x="13"/>
        <item x="70"/>
        <item x="50"/>
        <item x="32"/>
        <item x="55"/>
        <item x="18"/>
        <item x="9"/>
        <item x="30"/>
        <item x="15"/>
        <item x="42"/>
        <item t="default"/>
      </items>
    </pivotField>
    <pivotField dataField="1" numFmtId="2" showAll="0"/>
    <pivotField dataField="1" numFmtId="2" showAll="0">
      <items count="145">
        <item x="17"/>
        <item x="137"/>
        <item x="48"/>
        <item x="24"/>
        <item x="62"/>
        <item x="58"/>
        <item x="28"/>
        <item x="104"/>
        <item x="127"/>
        <item x="20"/>
        <item x="18"/>
        <item x="60"/>
        <item x="11"/>
        <item x="13"/>
        <item x="71"/>
        <item x="89"/>
        <item x="96"/>
        <item x="67"/>
        <item x="8"/>
        <item x="122"/>
        <item x="112"/>
        <item x="51"/>
        <item x="49"/>
        <item x="111"/>
        <item x="9"/>
        <item x="64"/>
        <item x="115"/>
        <item x="108"/>
        <item x="22"/>
        <item x="87"/>
        <item x="40"/>
        <item x="37"/>
        <item x="0"/>
        <item x="15"/>
        <item x="78"/>
        <item x="130"/>
        <item x="45"/>
        <item x="27"/>
        <item x="98"/>
        <item x="79"/>
        <item x="42"/>
        <item x="38"/>
        <item x="65"/>
        <item x="135"/>
        <item x="100"/>
        <item x="44"/>
        <item x="7"/>
        <item x="29"/>
        <item x="131"/>
        <item x="50"/>
        <item x="23"/>
        <item x="90"/>
        <item x="52"/>
        <item x="118"/>
        <item x="32"/>
        <item x="139"/>
        <item x="105"/>
        <item x="19"/>
        <item x="54"/>
        <item x="74"/>
        <item x="141"/>
        <item x="140"/>
        <item x="129"/>
        <item x="76"/>
        <item x="53"/>
        <item x="82"/>
        <item x="12"/>
        <item x="56"/>
        <item x="14"/>
        <item x="70"/>
        <item x="83"/>
        <item x="116"/>
        <item x="102"/>
        <item x="61"/>
        <item x="59"/>
        <item x="91"/>
        <item x="143"/>
        <item x="132"/>
        <item x="21"/>
        <item x="101"/>
        <item x="69"/>
        <item x="113"/>
        <item x="138"/>
        <item x="34"/>
        <item x="72"/>
        <item x="95"/>
        <item x="94"/>
        <item x="134"/>
        <item x="39"/>
        <item x="81"/>
        <item x="133"/>
        <item x="123"/>
        <item x="117"/>
        <item x="107"/>
        <item x="6"/>
        <item x="97"/>
        <item x="142"/>
        <item x="84"/>
        <item x="4"/>
        <item x="92"/>
        <item x="41"/>
        <item x="66"/>
        <item x="47"/>
        <item x="136"/>
        <item x="31"/>
        <item x="103"/>
        <item x="114"/>
        <item x="55"/>
        <item x="75"/>
        <item x="109"/>
        <item x="5"/>
        <item x="63"/>
        <item x="73"/>
        <item x="110"/>
        <item x="99"/>
        <item x="121"/>
        <item x="35"/>
        <item x="3"/>
        <item x="119"/>
        <item x="120"/>
        <item x="126"/>
        <item x="25"/>
        <item x="124"/>
        <item x="125"/>
        <item x="36"/>
        <item x="106"/>
        <item x="80"/>
        <item x="46"/>
        <item x="57"/>
        <item x="88"/>
        <item x="16"/>
        <item x="26"/>
        <item x="85"/>
        <item x="30"/>
        <item x="33"/>
        <item x="1"/>
        <item x="10"/>
        <item x="2"/>
        <item x="43"/>
        <item x="77"/>
        <item x="93"/>
        <item x="68"/>
        <item x="128"/>
        <item x="86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7" hier="-1"/>
  </pageFields>
  <dataFields count="5">
    <dataField name="Sum of PM2.5" fld="29" baseField="0" baseItem="0" numFmtId="2"/>
    <dataField name="Sum of PM10" fld="28" baseField="0" baseItem="0" numFmtId="2"/>
    <dataField name="Sum of SOx" fld="27" baseField="0" baseItem="0" numFmtId="2"/>
    <dataField name="Sum of NOx" fld="26" baseField="0" baseItem="0" numFmtId="2"/>
    <dataField name="Sum of Covered GHG" fld="24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F0E18-8EBF-B04F-BC6C-D347C62D63A4}" name="Emissions" displayName="Emissions" ref="A1:AO394" totalsRowCount="1">
  <autoFilter ref="A1:AO393" xr:uid="{693F0E18-8EBF-B04F-BC6C-D347C62D63A4}"/>
  <tableColumns count="41">
    <tableColumn id="1" xr3:uid="{AE03CBAB-118E-6647-99C8-3F7983E9AB76}" name="Year"/>
    <tableColumn id="2" xr3:uid="{1367D1C9-3C8E-754F-BA3F-64A2C7A514DB}" name="ARBID"/>
    <tableColumn id="3" xr3:uid="{2D1F37F7-1EE1-404B-AEC4-117AE47FC91C}" name="FACID"/>
    <tableColumn id="4" xr3:uid="{77EAC762-A67B-F146-A7BE-4E5B29C49692}" name="Facility"/>
    <tableColumn id="5" xr3:uid="{CE57B6A1-DA30-4843-B52F-48AF37880375}" name="Primary Sector"/>
    <tableColumn id="6" xr3:uid="{1862081A-C119-534A-B701-0298C2FB0DD7}" name="NAICS Code"/>
    <tableColumn id="7" xr3:uid="{796E2944-AC5F-264D-9053-0CC7787FE95F}" name="NAICS Description"/>
    <tableColumn id="8" xr3:uid="{CCC518F2-00C2-934E-B123-5EF0F23E5A05}" name="Address"/>
    <tableColumn id="9" xr3:uid="{161F6199-B480-C44B-9370-66E30BA2CB44}" name="City"/>
    <tableColumn id="10" xr3:uid="{645CC670-82ED-0247-9336-EB64C3B9D4B4}" name="State"/>
    <tableColumn id="11" xr3:uid="{639962B6-8152-ED41-BA27-F33AA94A4E1C}" name="Zip Code"/>
    <tableColumn id="12" xr3:uid="{60161E04-833E-D949-8BEC-3EF85B1CEDA0}" name="Latitude"/>
    <tableColumn id="13" xr3:uid="{56FC15EE-E3B7-A448-AF3D-3CF8FA7C44B3}" name="Longitude"/>
    <tableColumn id="14" xr3:uid="{C76AF746-5B69-884C-8CF2-ADD089047046}" name="Tract"/>
    <tableColumn id="15" xr3:uid="{1B7D5510-803E-D840-B775-A3310A3193B2}" name="County"/>
    <tableColumn id="16" xr3:uid="{20879C25-B268-AA48-9D0D-0BD87FF8BA59}" name="District"/>
    <tableColumn id="17" xr3:uid="{99DF6559-225E-E642-BBF1-4F1E2B73C770}" name="Basin"/>
    <tableColumn id="18" xr3:uid="{F8CA8504-E86F-2B4C-9473-17C3C91BF4E4}" name="Cap-and-Trade"/>
    <tableColumn id="19" xr3:uid="{6217BEAE-6C37-EA4A-B313-2AA9FDBDBAED}" name="Total GHG" totalsRowLabel="Total" dataDxfId="21" totalsRowDxfId="18"/>
    <tableColumn id="20" xr3:uid="{D027A009-192B-8248-9BC3-F136BC6D4F11}" name="Non-Biomass GHG" dataDxfId="20" totalsRowDxfId="17"/>
    <tableColumn id="21" xr3:uid="{8337DE33-8F1B-B74E-A3D2-3952C3E4BEC4}" name="Biomass CO2" totalsRowDxfId="16"/>
    <tableColumn id="22" xr3:uid="{AD1BA229-59AC-404D-8C45-29B79F52C204}" name="CO2" dataDxfId="19" totalsRowDxfId="15"/>
    <tableColumn id="23" xr3:uid="{CE4A7EE9-1B5C-7940-893A-A29FB40BE3B8}" name="CH4" totalsRowDxfId="14"/>
    <tableColumn id="24" xr3:uid="{3E190198-3713-C748-99DA-B6CFECFA7322}" name="N2O" totalsRowDxfId="13"/>
    <tableColumn id="25" xr3:uid="{651205AC-8E7B-F74E-BF87-52144C3C0D64}" name="Covered GHG" totalsRowFunction="custom" dataDxfId="6" totalsRowDxfId="12" totalsRowCellStyle="Comma">
      <totalsRowFormula>SUM(Emissions[Covered GHG])</totalsRowFormula>
    </tableColumn>
    <tableColumn id="26" xr3:uid="{BEB49B07-821D-DE44-98D5-B4D8653CF5E4}" name="VOC" totalsRowFunction="custom" dataDxfId="5" totalsRowDxfId="11" totalsRowCellStyle="Comma">
      <totalsRowFormula>SUM(Emissions[VOC])</totalsRowFormula>
    </tableColumn>
    <tableColumn id="27" xr3:uid="{FA17D36F-8F9B-F743-B3DF-92B75DC677BB}" name="NOx" totalsRowFunction="custom" dataDxfId="4" totalsRowDxfId="10" totalsRowCellStyle="Comma">
      <totalsRowFormula>SUM(Emissions[NOx])</totalsRowFormula>
    </tableColumn>
    <tableColumn id="28" xr3:uid="{64EF5CC6-CB6F-1940-8203-CD92DFBB1E60}" name="SOx" totalsRowFunction="custom" dataDxfId="3" totalsRowDxfId="9" totalsRowCellStyle="Comma">
      <totalsRowFormula>SUM(Emissions[SOx])</totalsRowFormula>
    </tableColumn>
    <tableColumn id="29" xr3:uid="{8016259D-A232-C444-B02B-D99E2E63609E}" name="PM10" totalsRowFunction="custom" dataDxfId="2" totalsRowDxfId="8" totalsRowCellStyle="Comma">
      <totalsRowFormula>SUM(Emissions[PM10])</totalsRowFormula>
    </tableColumn>
    <tableColumn id="30" xr3:uid="{241787D6-56D4-FC4A-8FF8-2E8403FC00DA}" name="PM2.5" totalsRowFunction="custom" dataDxfId="1" totalsRowDxfId="7" totalsRowCellStyle="Comma">
      <totalsRowFormula>SUM(Emissions[PM2.5])</totalsRowFormula>
    </tableColumn>
    <tableColumn id="31" xr3:uid="{EB83CAFC-3059-7A4C-B8EB-E9319D357A14}" name="Benzene" totalsRowFunction="custom">
      <totalsRowFormula>SUM(Emissions[Benzene])</totalsRowFormula>
    </tableColumn>
    <tableColumn id="32" xr3:uid="{9043F05C-2CF4-B844-A18B-358BA1A8BAA5}" name="13-Butadiene" totalsRowFunction="custom">
      <totalsRowFormula>SUM(Emissions[13-Butadiene])</totalsRowFormula>
    </tableColumn>
    <tableColumn id="33" xr3:uid="{2C44AB72-26A3-B34C-BB16-C23D0227B36C}" name="Chromium Hexavalent" totalsRowFunction="custom">
      <totalsRowFormula>SUM(Emissions[Chromium Hexavalent])</totalsRowFormula>
    </tableColumn>
    <tableColumn id="34" xr3:uid="{2E5787AE-F73E-D74D-B45D-5807EB7BD498}" name="Diesel PM" totalsRowFunction="custom">
      <totalsRowFormula>SUM(Emissions[Diesel PM])</totalsRowFormula>
    </tableColumn>
    <tableColumn id="35" xr3:uid="{56075810-BBFE-8F44-8BDD-EE289AD5A28D}" name="Formaldehyde" totalsRowFunction="custom">
      <totalsRowFormula>SUM(Emissions[Formaldehyde])</totalsRowFormula>
    </tableColumn>
    <tableColumn id="36" xr3:uid="{B8D28319-BC73-934C-BC00-931B566AB177}" name="Hydrochloric Acid" totalsRowFunction="custom">
      <totalsRowFormula>SUM(Emissions[Hydrochloric Acid])</totalsRowFormula>
    </tableColumn>
    <tableColumn id="37" xr3:uid="{FE1751D9-9D92-884C-942A-0C166A5FBAC2}" name="Hydrogen Sulfide" totalsRowFunction="custom">
      <totalsRowFormula>SUM(Emissions[Hydrogen Sulfide])</totalsRowFormula>
    </tableColumn>
    <tableColumn id="38" xr3:uid="{1F821715-E74F-B046-A270-AD39E6280AFA}" name="Nickel" totalsRowFunction="custom">
      <totalsRowFormula>SUM(Emissions[Nickel])</totalsRowFormula>
    </tableColumn>
    <tableColumn id="39" xr3:uid="{31558DFC-F5C0-F34D-A354-A5CDF9842556}" name="Acute ToxicityWtd_Lbs" totalsRowFunction="custom">
      <totalsRowFormula>SUM(Emissions[Acute ToxicityWtd_Lbs])</totalsRowFormula>
    </tableColumn>
    <tableColumn id="40" xr3:uid="{3EB4EAA2-7E87-0046-A0EC-60F306F8CE55}" name="Chronic ToxicityWtd_Lbs" totalsRowFunction="custom">
      <totalsRowFormula>SUM(Emissions[Chronic ToxicityWtd_Lbs])</totalsRowFormula>
    </tableColumn>
    <tableColumn id="41" xr3:uid="{8746F83A-A934-0545-BDEB-F930E29A4335}" name="Cancer ToxicityWtd_Lbs" totalsRowFunction="custom">
      <totalsRowFormula>SUM(Emissions[Cancer ToxicityWtd_Lbs])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5635-BCFE-3049-8A97-BF0582B2A060}">
  <dimension ref="A1:AO420"/>
  <sheetViews>
    <sheetView tabSelected="1" topLeftCell="I1" workbookViewId="0">
      <pane ySplit="1" topLeftCell="A376" activePane="bottomLeft" state="frozen"/>
      <selection activeCell="S1" sqref="S1"/>
      <selection pane="bottomLeft" activeCell="O404" sqref="O404"/>
    </sheetView>
  </sheetViews>
  <sheetFormatPr baseColWidth="10" defaultRowHeight="16" x14ac:dyDescent="0.2"/>
  <cols>
    <col min="5" max="5" width="15.33203125" customWidth="1"/>
    <col min="6" max="6" width="13.33203125" customWidth="1"/>
    <col min="7" max="7" width="18.5" customWidth="1"/>
    <col min="13" max="13" width="11.33203125" customWidth="1"/>
    <col min="18" max="18" width="15.6640625" customWidth="1"/>
    <col min="19" max="19" width="22.33203125" bestFit="1" customWidth="1"/>
    <col min="20" max="20" width="12.33203125" bestFit="1" customWidth="1"/>
    <col min="21" max="21" width="12.5" customWidth="1"/>
    <col min="22" max="22" width="10.33203125" bestFit="1" customWidth="1"/>
    <col min="23" max="23" width="10.6640625" bestFit="1" customWidth="1"/>
    <col min="24" max="24" width="18.5" bestFit="1" customWidth="1"/>
    <col min="25" max="25" width="19.5" bestFit="1" customWidth="1"/>
    <col min="26" max="26" width="11.6640625" bestFit="1" customWidth="1"/>
    <col min="27" max="27" width="11.33203125" bestFit="1" customWidth="1"/>
    <col min="28" max="28" width="14.1640625" bestFit="1" customWidth="1"/>
    <col min="29" max="29" width="13.6640625" bestFit="1" customWidth="1"/>
    <col min="30" max="30" width="8.6640625" bestFit="1" customWidth="1"/>
    <col min="31" max="31" width="0" hidden="1" customWidth="1"/>
    <col min="32" max="32" width="14.5" hidden="1" customWidth="1"/>
    <col min="33" max="33" width="21.5" hidden="1" customWidth="1"/>
    <col min="34" max="34" width="11.5" hidden="1" customWidth="1"/>
    <col min="35" max="35" width="15" hidden="1" customWidth="1"/>
    <col min="36" max="36" width="17.83203125" hidden="1" customWidth="1"/>
    <col min="37" max="37" width="17" hidden="1" customWidth="1"/>
    <col min="38" max="38" width="0" hidden="1" customWidth="1"/>
    <col min="39" max="39" width="21.5" hidden="1" customWidth="1"/>
    <col min="40" max="40" width="23.33203125" hidden="1" customWidth="1"/>
    <col min="41" max="41" width="22.83203125" hidden="1" customWidth="1"/>
    <col min="42" max="148" width="8.6640625" bestFit="1" customWidth="1"/>
    <col min="149" max="184" width="9.6640625" bestFit="1" customWidth="1"/>
    <col min="185" max="202" width="10.6640625" bestFit="1" customWidth="1"/>
    <col min="203" max="203" width="10.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2023</v>
      </c>
      <c r="B2">
        <v>100002</v>
      </c>
      <c r="C2">
        <v>174591</v>
      </c>
      <c r="D2" t="s">
        <v>41</v>
      </c>
      <c r="E2" t="s">
        <v>42</v>
      </c>
      <c r="F2">
        <v>324199</v>
      </c>
      <c r="G2" t="s">
        <v>43</v>
      </c>
      <c r="H2" t="s">
        <v>44</v>
      </c>
      <c r="I2" t="s">
        <v>45</v>
      </c>
      <c r="J2" t="s">
        <v>46</v>
      </c>
      <c r="K2">
        <v>90744</v>
      </c>
      <c r="L2">
        <v>33.777000000000001</v>
      </c>
      <c r="M2">
        <v>-118.229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2">
        <v>0</v>
      </c>
      <c r="Z2" s="12">
        <v>3.1</v>
      </c>
      <c r="AA2" s="12">
        <v>117.1</v>
      </c>
      <c r="AB2" s="12">
        <v>112.9</v>
      </c>
      <c r="AC2" s="12">
        <v>6.6</v>
      </c>
      <c r="AD2" s="12">
        <v>3.2</v>
      </c>
      <c r="AE2">
        <v>1.17</v>
      </c>
      <c r="AF2">
        <v>4.2999999999999997E-2</v>
      </c>
      <c r="AG2">
        <v>0.21199999999999999</v>
      </c>
      <c r="AH2">
        <v>9.86</v>
      </c>
      <c r="AI2">
        <v>0</v>
      </c>
      <c r="AJ2">
        <v>0</v>
      </c>
      <c r="AL2">
        <v>0</v>
      </c>
      <c r="AM2">
        <v>2.5939999999999999</v>
      </c>
      <c r="AN2">
        <v>3.7469999999999999</v>
      </c>
      <c r="AO2">
        <v>336.34100000000001</v>
      </c>
    </row>
    <row r="3" spans="1:41" x14ac:dyDescent="0.2">
      <c r="A3">
        <v>2023</v>
      </c>
      <c r="B3">
        <v>100011</v>
      </c>
      <c r="C3">
        <v>2</v>
      </c>
      <c r="D3" t="s">
        <v>52</v>
      </c>
      <c r="E3" t="s">
        <v>42</v>
      </c>
      <c r="F3">
        <v>212391</v>
      </c>
      <c r="G3" t="s">
        <v>53</v>
      </c>
      <c r="H3" t="s">
        <v>54</v>
      </c>
      <c r="I3" t="s">
        <v>55</v>
      </c>
      <c r="J3" t="s">
        <v>46</v>
      </c>
      <c r="K3">
        <v>93562</v>
      </c>
      <c r="L3">
        <v>35.761000000000003</v>
      </c>
      <c r="M3">
        <v>-117.377</v>
      </c>
      <c r="N3" t="s">
        <v>56</v>
      </c>
      <c r="O3" t="s">
        <v>57</v>
      </c>
      <c r="P3" t="s">
        <v>58</v>
      </c>
      <c r="Q3" t="s">
        <v>59</v>
      </c>
      <c r="R3" t="s">
        <v>51</v>
      </c>
      <c r="S3" s="1">
        <v>1298864</v>
      </c>
      <c r="T3" s="1">
        <v>1298864</v>
      </c>
      <c r="U3">
        <v>0</v>
      </c>
      <c r="V3" s="1">
        <v>1289875</v>
      </c>
      <c r="W3">
        <v>132.24</v>
      </c>
      <c r="X3">
        <v>19.07</v>
      </c>
      <c r="Y3" s="12">
        <v>1298864</v>
      </c>
      <c r="Z3" s="12">
        <v>25.2</v>
      </c>
      <c r="AA3" s="12">
        <v>1192.5</v>
      </c>
      <c r="AB3" s="12">
        <v>96.7</v>
      </c>
      <c r="AC3" s="12">
        <v>173.9</v>
      </c>
      <c r="AD3" s="12">
        <v>141.80000000000001</v>
      </c>
      <c r="AE3">
        <v>0</v>
      </c>
      <c r="AG3">
        <v>3.59</v>
      </c>
      <c r="AH3">
        <v>302</v>
      </c>
      <c r="AI3" s="1">
        <v>1715</v>
      </c>
      <c r="AK3">
        <v>801</v>
      </c>
      <c r="AL3">
        <v>0.20499999999999999</v>
      </c>
      <c r="AM3">
        <v>19.989999999999998</v>
      </c>
      <c r="AN3">
        <v>96.820999999999998</v>
      </c>
      <c r="AO3" s="2">
        <v>5902.8410000000003</v>
      </c>
    </row>
    <row r="4" spans="1:41" x14ac:dyDescent="0.2">
      <c r="A4">
        <v>2023</v>
      </c>
      <c r="B4">
        <v>100013</v>
      </c>
      <c r="C4">
        <v>3</v>
      </c>
      <c r="D4" t="s">
        <v>60</v>
      </c>
      <c r="E4" t="s">
        <v>61</v>
      </c>
      <c r="F4">
        <v>327310</v>
      </c>
      <c r="G4" t="s">
        <v>62</v>
      </c>
      <c r="H4" t="s">
        <v>63</v>
      </c>
      <c r="I4" t="s">
        <v>64</v>
      </c>
      <c r="J4" t="s">
        <v>46</v>
      </c>
      <c r="K4">
        <v>92368</v>
      </c>
      <c r="L4">
        <v>34.603000000000002</v>
      </c>
      <c r="M4">
        <v>-117.34</v>
      </c>
      <c r="N4" t="s">
        <v>65</v>
      </c>
      <c r="O4" t="s">
        <v>57</v>
      </c>
      <c r="P4" t="s">
        <v>58</v>
      </c>
      <c r="Q4" t="s">
        <v>59</v>
      </c>
      <c r="R4" t="s">
        <v>51</v>
      </c>
      <c r="S4" s="1">
        <v>1424149</v>
      </c>
      <c r="T4" s="1">
        <v>1424149</v>
      </c>
      <c r="U4">
        <v>0</v>
      </c>
      <c r="V4" s="1">
        <v>1419833</v>
      </c>
      <c r="W4">
        <v>63.26</v>
      </c>
      <c r="X4">
        <v>9.18</v>
      </c>
      <c r="Y4" s="12">
        <v>1424149</v>
      </c>
      <c r="Z4" s="12">
        <v>22.7</v>
      </c>
      <c r="AA4" s="12">
        <v>1989.5</v>
      </c>
      <c r="AB4" s="12">
        <v>25.7</v>
      </c>
      <c r="AC4" s="12">
        <v>551.20000000000005</v>
      </c>
      <c r="AD4" s="12">
        <v>181</v>
      </c>
      <c r="AE4">
        <v>562</v>
      </c>
      <c r="AG4">
        <v>1.18</v>
      </c>
      <c r="AH4" s="1">
        <v>3850</v>
      </c>
      <c r="AI4" s="1">
        <v>4344</v>
      </c>
      <c r="AJ4" s="1">
        <v>22825</v>
      </c>
      <c r="AL4">
        <v>77.599999999999994</v>
      </c>
      <c r="AM4">
        <v>118.456</v>
      </c>
      <c r="AN4">
        <v>945.75900000000001</v>
      </c>
      <c r="AO4" s="2">
        <v>13943.31</v>
      </c>
    </row>
    <row r="5" spans="1:41" x14ac:dyDescent="0.2">
      <c r="A5">
        <v>2023</v>
      </c>
      <c r="B5">
        <v>100018</v>
      </c>
      <c r="C5">
        <v>51</v>
      </c>
      <c r="D5" t="s">
        <v>66</v>
      </c>
      <c r="E5" t="s">
        <v>67</v>
      </c>
      <c r="F5">
        <v>221119</v>
      </c>
      <c r="G5" t="s">
        <v>68</v>
      </c>
      <c r="H5" t="s">
        <v>69</v>
      </c>
      <c r="I5" t="s">
        <v>70</v>
      </c>
      <c r="J5" t="s">
        <v>46</v>
      </c>
      <c r="K5">
        <v>96013</v>
      </c>
      <c r="L5">
        <v>40.880000000000003</v>
      </c>
      <c r="M5">
        <v>-121.72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s="1">
        <v>360493</v>
      </c>
      <c r="T5" s="1">
        <v>16868</v>
      </c>
      <c r="U5" s="1">
        <v>343625</v>
      </c>
      <c r="V5" s="1">
        <v>352967</v>
      </c>
      <c r="W5">
        <v>117.4</v>
      </c>
      <c r="X5">
        <v>15.4</v>
      </c>
      <c r="Y5" s="12">
        <v>0</v>
      </c>
      <c r="Z5" s="12">
        <v>11</v>
      </c>
      <c r="AA5" s="12">
        <v>182.7</v>
      </c>
      <c r="AB5" s="12">
        <v>5.2</v>
      </c>
      <c r="AC5" s="12">
        <v>45.7</v>
      </c>
      <c r="AD5" s="12">
        <v>41.3</v>
      </c>
    </row>
    <row r="6" spans="1:41" x14ac:dyDescent="0.2">
      <c r="A6">
        <v>2023</v>
      </c>
      <c r="B6">
        <v>100040</v>
      </c>
      <c r="C6">
        <v>60</v>
      </c>
      <c r="D6" t="s">
        <v>76</v>
      </c>
      <c r="E6" t="s">
        <v>67</v>
      </c>
      <c r="F6">
        <v>221117</v>
      </c>
      <c r="G6" t="s">
        <v>77</v>
      </c>
      <c r="H6" t="s">
        <v>78</v>
      </c>
      <c r="I6" t="s">
        <v>79</v>
      </c>
      <c r="J6" t="s">
        <v>46</v>
      </c>
      <c r="K6">
        <v>95565</v>
      </c>
      <c r="L6">
        <v>40.487000000000002</v>
      </c>
      <c r="M6">
        <v>-124.102</v>
      </c>
      <c r="N6" t="s">
        <v>80</v>
      </c>
      <c r="O6" t="s">
        <v>81</v>
      </c>
      <c r="P6" t="s">
        <v>82</v>
      </c>
      <c r="Q6" t="s">
        <v>83</v>
      </c>
      <c r="R6" t="s">
        <v>75</v>
      </c>
      <c r="S6" s="1">
        <v>266404</v>
      </c>
      <c r="T6" s="1">
        <v>6343</v>
      </c>
      <c r="U6" s="1">
        <v>260061</v>
      </c>
      <c r="V6" s="1">
        <v>260714</v>
      </c>
      <c r="W6">
        <v>88.75</v>
      </c>
      <c r="X6">
        <v>11.65</v>
      </c>
      <c r="Y6" s="12">
        <v>0</v>
      </c>
      <c r="Z6" s="12">
        <v>29.2</v>
      </c>
      <c r="AA6" s="12">
        <v>195.5</v>
      </c>
      <c r="AB6" s="12">
        <v>34.700000000000003</v>
      </c>
      <c r="AC6" s="12">
        <v>19.7</v>
      </c>
      <c r="AD6" s="12">
        <v>17.600000000000001</v>
      </c>
      <c r="AE6" s="1">
        <v>11667</v>
      </c>
      <c r="AG6">
        <v>9.7200000000000006</v>
      </c>
      <c r="AH6">
        <v>0.73599999999999999</v>
      </c>
      <c r="AI6" s="1">
        <v>12331</v>
      </c>
      <c r="AJ6">
        <v>104</v>
      </c>
      <c r="AL6">
        <v>91.7</v>
      </c>
      <c r="AM6" s="2">
        <v>1015.308</v>
      </c>
      <c r="AN6" s="2">
        <v>1874.6610000000001</v>
      </c>
      <c r="AO6" s="2">
        <v>17964.288</v>
      </c>
    </row>
    <row r="7" spans="1:41" x14ac:dyDescent="0.2">
      <c r="A7">
        <v>2023</v>
      </c>
      <c r="B7">
        <v>100043</v>
      </c>
      <c r="C7">
        <v>18</v>
      </c>
      <c r="D7" t="s">
        <v>84</v>
      </c>
      <c r="E7" t="s">
        <v>42</v>
      </c>
      <c r="F7">
        <v>321113</v>
      </c>
      <c r="G7" t="s">
        <v>85</v>
      </c>
      <c r="H7" t="s">
        <v>86</v>
      </c>
      <c r="I7" t="s">
        <v>70</v>
      </c>
      <c r="J7" t="s">
        <v>46</v>
      </c>
      <c r="K7">
        <v>96013</v>
      </c>
      <c r="L7">
        <v>40.878</v>
      </c>
      <c r="M7">
        <v>-121.70099999999999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s="1">
        <v>234711</v>
      </c>
      <c r="T7" s="1">
        <v>4581</v>
      </c>
      <c r="U7" s="1">
        <v>230130</v>
      </c>
      <c r="V7" s="1">
        <v>230163</v>
      </c>
      <c r="W7">
        <v>70.94</v>
      </c>
      <c r="X7">
        <v>9.31</v>
      </c>
      <c r="Y7" s="12">
        <v>0</v>
      </c>
      <c r="Z7" s="12">
        <v>68.400000000000006</v>
      </c>
      <c r="AA7" s="12">
        <v>158</v>
      </c>
      <c r="AB7" s="12">
        <v>1.6</v>
      </c>
      <c r="AC7" s="12">
        <v>32.200000000000003</v>
      </c>
      <c r="AD7" s="12">
        <v>28.6</v>
      </c>
    </row>
    <row r="8" spans="1:41" x14ac:dyDescent="0.2">
      <c r="A8">
        <v>2023</v>
      </c>
      <c r="B8">
        <v>100090</v>
      </c>
      <c r="C8">
        <v>48</v>
      </c>
      <c r="D8" t="s">
        <v>87</v>
      </c>
      <c r="E8" t="s">
        <v>42</v>
      </c>
      <c r="F8">
        <v>321113</v>
      </c>
      <c r="G8" t="s">
        <v>85</v>
      </c>
      <c r="H8" t="s">
        <v>88</v>
      </c>
      <c r="I8" t="s">
        <v>89</v>
      </c>
      <c r="J8" t="s">
        <v>46</v>
      </c>
      <c r="K8">
        <v>96007</v>
      </c>
      <c r="L8">
        <v>40.472999999999999</v>
      </c>
      <c r="M8">
        <v>-122.32299999999999</v>
      </c>
      <c r="N8" t="s">
        <v>90</v>
      </c>
      <c r="O8" t="s">
        <v>72</v>
      </c>
      <c r="P8" t="s">
        <v>73</v>
      </c>
      <c r="Q8" t="s">
        <v>74</v>
      </c>
      <c r="R8" t="s">
        <v>75</v>
      </c>
      <c r="S8" s="1">
        <v>246539</v>
      </c>
      <c r="T8" s="1">
        <v>6646</v>
      </c>
      <c r="U8" s="1">
        <v>239893</v>
      </c>
      <c r="V8" s="1">
        <v>240200</v>
      </c>
      <c r="W8">
        <v>98.87</v>
      </c>
      <c r="X8">
        <v>12.98</v>
      </c>
      <c r="Y8" s="12">
        <v>0</v>
      </c>
      <c r="Z8" s="12">
        <v>2.5</v>
      </c>
      <c r="AA8" s="12">
        <v>142.5</v>
      </c>
      <c r="AB8" s="12">
        <v>0.5</v>
      </c>
      <c r="AC8" s="12">
        <v>17.399999999999999</v>
      </c>
      <c r="AD8" s="12">
        <v>15</v>
      </c>
    </row>
    <row r="9" spans="1:41" x14ac:dyDescent="0.2">
      <c r="A9">
        <v>2023</v>
      </c>
      <c r="B9">
        <v>100127</v>
      </c>
      <c r="C9">
        <v>101656</v>
      </c>
      <c r="D9" t="s">
        <v>91</v>
      </c>
      <c r="E9" t="s">
        <v>92</v>
      </c>
      <c r="F9">
        <v>325120</v>
      </c>
      <c r="G9" t="s">
        <v>93</v>
      </c>
      <c r="H9" t="s">
        <v>94</v>
      </c>
      <c r="I9" t="s">
        <v>45</v>
      </c>
      <c r="J9" t="s">
        <v>46</v>
      </c>
      <c r="K9">
        <v>90744</v>
      </c>
      <c r="L9">
        <v>33.779000000000003</v>
      </c>
      <c r="M9">
        <v>-118.242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s="1">
        <v>828689</v>
      </c>
      <c r="T9" s="1">
        <v>828689</v>
      </c>
      <c r="U9">
        <v>0</v>
      </c>
      <c r="V9" s="1">
        <v>827816</v>
      </c>
      <c r="W9">
        <v>9.76</v>
      </c>
      <c r="X9">
        <v>2.11</v>
      </c>
      <c r="Y9" s="12">
        <v>828689</v>
      </c>
      <c r="Z9" s="12">
        <v>5.5</v>
      </c>
      <c r="AA9" s="12">
        <v>27.6</v>
      </c>
      <c r="AB9" s="12">
        <v>2.1</v>
      </c>
      <c r="AC9" s="12">
        <v>5.2</v>
      </c>
      <c r="AD9" s="12">
        <v>4.8</v>
      </c>
      <c r="AE9">
        <v>27.4</v>
      </c>
      <c r="AF9">
        <v>3.9E-2</v>
      </c>
      <c r="AG9">
        <v>0</v>
      </c>
      <c r="AH9">
        <v>6.01</v>
      </c>
      <c r="AI9">
        <v>58.2</v>
      </c>
      <c r="AJ9">
        <v>3.3000000000000002E-2</v>
      </c>
      <c r="AL9">
        <v>1E-3</v>
      </c>
      <c r="AM9">
        <v>1.635</v>
      </c>
      <c r="AN9">
        <v>1.5569999999999999</v>
      </c>
      <c r="AO9">
        <v>38.671999999999997</v>
      </c>
    </row>
    <row r="10" spans="1:41" x14ac:dyDescent="0.2">
      <c r="A10">
        <v>2023</v>
      </c>
      <c r="B10">
        <v>100130</v>
      </c>
      <c r="C10">
        <v>193</v>
      </c>
      <c r="D10" t="s">
        <v>95</v>
      </c>
      <c r="E10" t="s">
        <v>67</v>
      </c>
      <c r="F10">
        <v>221112</v>
      </c>
      <c r="G10" t="s">
        <v>96</v>
      </c>
      <c r="H10" t="s">
        <v>97</v>
      </c>
      <c r="I10" t="s">
        <v>98</v>
      </c>
      <c r="J10" t="s">
        <v>46</v>
      </c>
      <c r="K10">
        <v>95758</v>
      </c>
      <c r="L10">
        <v>38.442999999999998</v>
      </c>
      <c r="M10">
        <v>-121.464</v>
      </c>
      <c r="N10" t="s">
        <v>99</v>
      </c>
      <c r="O10" t="s">
        <v>100</v>
      </c>
      <c r="P10" t="s">
        <v>101</v>
      </c>
      <c r="Q10" t="s">
        <v>74</v>
      </c>
      <c r="R10" t="s">
        <v>51</v>
      </c>
      <c r="S10" s="1">
        <v>84543</v>
      </c>
      <c r="T10" s="1">
        <v>77331</v>
      </c>
      <c r="U10" s="1">
        <v>7211</v>
      </c>
      <c r="V10" s="1">
        <v>84440</v>
      </c>
      <c r="W10">
        <v>1.73</v>
      </c>
      <c r="X10">
        <v>0.2</v>
      </c>
      <c r="Y10" s="12">
        <v>77331</v>
      </c>
      <c r="Z10" s="12">
        <v>0.5</v>
      </c>
      <c r="AA10" s="12">
        <v>5.5</v>
      </c>
      <c r="AB10" s="12">
        <v>0.5</v>
      </c>
      <c r="AC10" s="12">
        <v>1.9</v>
      </c>
      <c r="AD10" s="12">
        <v>1.8</v>
      </c>
      <c r="AE10">
        <v>190</v>
      </c>
      <c r="AF10">
        <v>0.184</v>
      </c>
      <c r="AH10">
        <v>7.19</v>
      </c>
      <c r="AI10">
        <v>631</v>
      </c>
      <c r="AK10">
        <v>165</v>
      </c>
      <c r="AM10">
        <v>17.629000000000001</v>
      </c>
      <c r="AN10">
        <v>8.1969999999999992</v>
      </c>
      <c r="AO10">
        <v>340.02600000000001</v>
      </c>
    </row>
    <row r="11" spans="1:41" x14ac:dyDescent="0.2">
      <c r="A11">
        <v>2023</v>
      </c>
      <c r="B11">
        <v>100131</v>
      </c>
      <c r="C11">
        <v>7265</v>
      </c>
      <c r="D11" t="s">
        <v>102</v>
      </c>
      <c r="E11" t="s">
        <v>42</v>
      </c>
      <c r="F11">
        <v>611310</v>
      </c>
      <c r="G11" t="s">
        <v>103</v>
      </c>
      <c r="H11" t="s">
        <v>104</v>
      </c>
      <c r="I11" t="s">
        <v>105</v>
      </c>
      <c r="J11" t="s">
        <v>46</v>
      </c>
      <c r="K11">
        <v>95192</v>
      </c>
      <c r="L11">
        <v>37.335000000000001</v>
      </c>
      <c r="M11">
        <v>-121.88500000000001</v>
      </c>
      <c r="N11" t="s">
        <v>106</v>
      </c>
      <c r="O11" t="s">
        <v>107</v>
      </c>
      <c r="P11" t="s">
        <v>108</v>
      </c>
      <c r="Q11" t="s">
        <v>109</v>
      </c>
      <c r="R11" t="s">
        <v>75</v>
      </c>
      <c r="S11" s="1">
        <v>27313</v>
      </c>
      <c r="T11" s="1">
        <v>27313</v>
      </c>
      <c r="U11">
        <v>0</v>
      </c>
      <c r="V11" s="1">
        <v>27284</v>
      </c>
      <c r="W11">
        <v>0.51</v>
      </c>
      <c r="X11">
        <v>0.05</v>
      </c>
      <c r="Y11" s="12">
        <v>0</v>
      </c>
      <c r="Z11" s="12">
        <v>5.7</v>
      </c>
      <c r="AA11" s="12">
        <v>29.1</v>
      </c>
      <c r="AB11" s="12">
        <v>0.1</v>
      </c>
      <c r="AC11" s="12">
        <v>2.4</v>
      </c>
      <c r="AD11" s="12">
        <v>2.4</v>
      </c>
      <c r="AE11">
        <v>15.2</v>
      </c>
      <c r="AF11">
        <v>0.02</v>
      </c>
      <c r="AG11">
        <v>6.0000000000000001E-3</v>
      </c>
      <c r="AH11">
        <v>0.06</v>
      </c>
      <c r="AI11">
        <v>210</v>
      </c>
      <c r="AL11">
        <v>0.189</v>
      </c>
      <c r="AM11">
        <v>1.5289999999999999</v>
      </c>
      <c r="AN11">
        <v>1.6060000000000001</v>
      </c>
      <c r="AO11">
        <v>27.225000000000001</v>
      </c>
    </row>
    <row r="12" spans="1:41" x14ac:dyDescent="0.2">
      <c r="A12">
        <v>2023</v>
      </c>
      <c r="B12">
        <v>100138</v>
      </c>
      <c r="C12">
        <v>800030</v>
      </c>
      <c r="D12" t="s">
        <v>110</v>
      </c>
      <c r="E12" t="s">
        <v>111</v>
      </c>
      <c r="F12">
        <v>324110</v>
      </c>
      <c r="G12" t="s">
        <v>112</v>
      </c>
      <c r="H12" t="s">
        <v>113</v>
      </c>
      <c r="I12" t="s">
        <v>114</v>
      </c>
      <c r="J12" t="s">
        <v>46</v>
      </c>
      <c r="K12">
        <v>90245</v>
      </c>
      <c r="L12">
        <v>33.915999999999997</v>
      </c>
      <c r="M12">
        <v>-118.419</v>
      </c>
      <c r="N12" t="s">
        <v>115</v>
      </c>
      <c r="O12" t="s">
        <v>48</v>
      </c>
      <c r="P12" t="s">
        <v>49</v>
      </c>
      <c r="Q12" t="s">
        <v>50</v>
      </c>
      <c r="R12" t="s">
        <v>51</v>
      </c>
      <c r="S12" s="1">
        <v>3257942</v>
      </c>
      <c r="T12" s="1">
        <v>3245087</v>
      </c>
      <c r="U12" s="1">
        <v>12855</v>
      </c>
      <c r="V12" s="1">
        <v>3242291</v>
      </c>
      <c r="W12">
        <v>378.44</v>
      </c>
      <c r="X12">
        <v>20.77</v>
      </c>
      <c r="Y12" s="12">
        <v>3256713</v>
      </c>
      <c r="Z12" s="12">
        <v>519.6</v>
      </c>
      <c r="AA12" s="12">
        <v>414.6</v>
      </c>
      <c r="AB12" s="12">
        <v>301.89999999999998</v>
      </c>
      <c r="AC12" s="12">
        <v>181</v>
      </c>
      <c r="AD12" s="12">
        <v>173.4</v>
      </c>
      <c r="AE12">
        <v>812</v>
      </c>
      <c r="AF12">
        <v>16.3</v>
      </c>
      <c r="AG12">
        <v>6.0999999999999999E-2</v>
      </c>
      <c r="AH12" s="1">
        <v>1993</v>
      </c>
      <c r="AI12" s="1">
        <v>3900</v>
      </c>
      <c r="AJ12">
        <v>11.1</v>
      </c>
      <c r="AK12" s="1">
        <v>17598</v>
      </c>
      <c r="AL12">
        <v>325</v>
      </c>
      <c r="AM12">
        <v>475.12900000000002</v>
      </c>
      <c r="AN12" s="2">
        <v>1227.1569999999999</v>
      </c>
      <c r="AO12" s="2">
        <v>10384.153</v>
      </c>
    </row>
    <row r="13" spans="1:41" x14ac:dyDescent="0.2">
      <c r="A13">
        <v>2023</v>
      </c>
      <c r="B13">
        <v>100151</v>
      </c>
      <c r="C13">
        <v>800386</v>
      </c>
      <c r="D13" t="s">
        <v>116</v>
      </c>
      <c r="E13" t="s">
        <v>42</v>
      </c>
      <c r="F13">
        <v>922140</v>
      </c>
      <c r="G13" t="s">
        <v>117</v>
      </c>
      <c r="H13" t="s">
        <v>118</v>
      </c>
      <c r="I13" t="s">
        <v>119</v>
      </c>
      <c r="J13" t="s">
        <v>46</v>
      </c>
      <c r="K13">
        <v>91350</v>
      </c>
      <c r="L13">
        <v>34.463999999999999</v>
      </c>
      <c r="M13">
        <v>-118.59399999999999</v>
      </c>
      <c r="N13" t="s">
        <v>120</v>
      </c>
      <c r="O13" t="s">
        <v>48</v>
      </c>
      <c r="P13" t="s">
        <v>49</v>
      </c>
      <c r="Q13" t="s">
        <v>50</v>
      </c>
      <c r="R13" t="s">
        <v>51</v>
      </c>
      <c r="S13" s="1">
        <v>10060</v>
      </c>
      <c r="T13" s="1">
        <v>10060</v>
      </c>
      <c r="U13">
        <v>0</v>
      </c>
      <c r="V13" s="1">
        <v>10049</v>
      </c>
      <c r="W13">
        <v>0.19</v>
      </c>
      <c r="X13">
        <v>0.02</v>
      </c>
      <c r="Y13" s="12">
        <v>10060</v>
      </c>
      <c r="Z13" s="12">
        <v>1.2</v>
      </c>
      <c r="AA13" s="12">
        <v>5</v>
      </c>
      <c r="AB13" s="12">
        <v>0.1</v>
      </c>
      <c r="AC13" s="12">
        <v>1.4</v>
      </c>
      <c r="AD13" s="12">
        <v>1.2</v>
      </c>
      <c r="AE13">
        <v>6.49</v>
      </c>
      <c r="AF13">
        <v>4.99</v>
      </c>
      <c r="AG13">
        <v>2E-3</v>
      </c>
      <c r="AH13">
        <v>175</v>
      </c>
      <c r="AI13">
        <v>42.4</v>
      </c>
      <c r="AJ13">
        <v>4.2699999999999996</v>
      </c>
      <c r="AL13">
        <v>0.09</v>
      </c>
      <c r="AM13">
        <v>0.49399999999999999</v>
      </c>
      <c r="AN13">
        <v>1.216</v>
      </c>
      <c r="AO13">
        <v>427.62700000000001</v>
      </c>
    </row>
    <row r="14" spans="1:41" x14ac:dyDescent="0.2">
      <c r="A14">
        <v>2023</v>
      </c>
      <c r="B14">
        <v>100167</v>
      </c>
      <c r="C14">
        <v>5985</v>
      </c>
      <c r="D14" t="s">
        <v>121</v>
      </c>
      <c r="E14" t="s">
        <v>42</v>
      </c>
      <c r="F14">
        <v>221320</v>
      </c>
      <c r="G14" t="s">
        <v>122</v>
      </c>
      <c r="H14" t="s">
        <v>123</v>
      </c>
      <c r="I14" t="s">
        <v>124</v>
      </c>
      <c r="J14" t="s">
        <v>46</v>
      </c>
      <c r="K14">
        <v>92011</v>
      </c>
      <c r="L14">
        <v>33.11</v>
      </c>
      <c r="M14">
        <v>-117.318</v>
      </c>
      <c r="N14" t="s">
        <v>125</v>
      </c>
      <c r="O14" t="s">
        <v>126</v>
      </c>
      <c r="P14" t="s">
        <v>127</v>
      </c>
      <c r="Q14" t="s">
        <v>126</v>
      </c>
      <c r="R14" t="s">
        <v>75</v>
      </c>
      <c r="S14" s="1">
        <v>15458</v>
      </c>
      <c r="T14" s="1">
        <v>4536</v>
      </c>
      <c r="U14" s="1">
        <v>10922</v>
      </c>
      <c r="V14" s="1">
        <v>15397</v>
      </c>
      <c r="W14">
        <v>0.76</v>
      </c>
      <c r="X14">
        <v>0.14000000000000001</v>
      </c>
      <c r="Y14" s="12">
        <v>0</v>
      </c>
      <c r="Z14" s="12">
        <v>6.5</v>
      </c>
      <c r="AA14" s="12">
        <v>20.6</v>
      </c>
      <c r="AB14" s="12">
        <v>1.2</v>
      </c>
      <c r="AC14" s="12">
        <v>7.4</v>
      </c>
      <c r="AD14" s="12">
        <v>7.4</v>
      </c>
      <c r="AE14">
        <v>69.400000000000006</v>
      </c>
      <c r="AF14">
        <v>2.0499999999999998</v>
      </c>
      <c r="AG14">
        <v>1E-3</v>
      </c>
      <c r="AH14">
        <v>1.68</v>
      </c>
      <c r="AI14" s="1">
        <v>12051</v>
      </c>
      <c r="AJ14">
        <v>279</v>
      </c>
      <c r="AK14">
        <v>540</v>
      </c>
      <c r="AL14">
        <v>0.25</v>
      </c>
      <c r="AM14">
        <v>41.033000000000001</v>
      </c>
      <c r="AN14">
        <v>25.69</v>
      </c>
      <c r="AO14">
        <v>727.53899999999999</v>
      </c>
    </row>
    <row r="15" spans="1:41" x14ac:dyDescent="0.2">
      <c r="A15">
        <v>2023</v>
      </c>
      <c r="B15">
        <v>100180</v>
      </c>
      <c r="C15">
        <v>8469</v>
      </c>
      <c r="D15" t="s">
        <v>128</v>
      </c>
      <c r="E15" t="s">
        <v>67</v>
      </c>
      <c r="F15">
        <v>221112</v>
      </c>
      <c r="G15" t="s">
        <v>96</v>
      </c>
      <c r="H15" t="s">
        <v>129</v>
      </c>
      <c r="I15" t="s">
        <v>130</v>
      </c>
      <c r="J15" t="s">
        <v>46</v>
      </c>
      <c r="K15">
        <v>92025</v>
      </c>
      <c r="L15">
        <v>33.119</v>
      </c>
      <c r="M15">
        <v>-117.099</v>
      </c>
      <c r="N15" t="s">
        <v>131</v>
      </c>
      <c r="O15" t="s">
        <v>126</v>
      </c>
      <c r="P15" t="s">
        <v>127</v>
      </c>
      <c r="Q15" t="s">
        <v>126</v>
      </c>
      <c r="R15" t="s">
        <v>75</v>
      </c>
      <c r="S15" s="1">
        <v>6432</v>
      </c>
      <c r="T15" s="1">
        <v>6432</v>
      </c>
      <c r="U15">
        <v>0</v>
      </c>
      <c r="V15" s="1">
        <v>6426</v>
      </c>
      <c r="W15">
        <v>0.12</v>
      </c>
      <c r="X15">
        <v>0.01</v>
      </c>
      <c r="Y15" s="12">
        <v>0</v>
      </c>
      <c r="Z15" s="12">
        <v>0.1</v>
      </c>
      <c r="AA15" s="12">
        <v>1</v>
      </c>
      <c r="AB15" s="12">
        <v>0</v>
      </c>
      <c r="AC15" s="12">
        <v>1.3</v>
      </c>
      <c r="AD15" s="12">
        <v>1.3</v>
      </c>
      <c r="AE15">
        <v>1.44</v>
      </c>
      <c r="AF15">
        <v>4.7E-2</v>
      </c>
      <c r="AI15">
        <v>85.4</v>
      </c>
      <c r="AM15">
        <v>0.38</v>
      </c>
      <c r="AN15">
        <v>0.28899999999999998</v>
      </c>
      <c r="AO15">
        <v>6.7370000000000001</v>
      </c>
    </row>
    <row r="16" spans="1:41" x14ac:dyDescent="0.2">
      <c r="A16">
        <v>2023</v>
      </c>
      <c r="B16">
        <v>100195</v>
      </c>
      <c r="C16">
        <v>172005</v>
      </c>
      <c r="D16" t="s">
        <v>132</v>
      </c>
      <c r="E16" t="s">
        <v>42</v>
      </c>
      <c r="F16">
        <v>322130</v>
      </c>
      <c r="G16" t="s">
        <v>133</v>
      </c>
      <c r="H16" t="s">
        <v>134</v>
      </c>
      <c r="I16" t="s">
        <v>135</v>
      </c>
      <c r="J16" t="s">
        <v>46</v>
      </c>
      <c r="K16">
        <v>91761</v>
      </c>
      <c r="L16">
        <v>34.048000000000002</v>
      </c>
      <c r="M16">
        <v>-117.54</v>
      </c>
      <c r="N16" t="s">
        <v>136</v>
      </c>
      <c r="O16" t="s">
        <v>57</v>
      </c>
      <c r="P16" t="s">
        <v>49</v>
      </c>
      <c r="Q16" t="s">
        <v>50</v>
      </c>
      <c r="R16" t="s">
        <v>51</v>
      </c>
      <c r="S16" s="1">
        <v>207254</v>
      </c>
      <c r="T16" s="1">
        <v>207254</v>
      </c>
      <c r="U16">
        <v>0</v>
      </c>
      <c r="V16" s="1">
        <v>207040</v>
      </c>
      <c r="W16">
        <v>3.9</v>
      </c>
      <c r="X16">
        <v>0.39</v>
      </c>
      <c r="Y16" s="12">
        <v>207254</v>
      </c>
      <c r="Z16" s="12">
        <v>48.2</v>
      </c>
      <c r="AA16" s="12">
        <v>6</v>
      </c>
      <c r="AB16" s="12">
        <v>1</v>
      </c>
      <c r="AC16" s="12">
        <v>9.9</v>
      </c>
      <c r="AD16" s="12">
        <v>7.6</v>
      </c>
      <c r="AE16">
        <v>50.4</v>
      </c>
      <c r="AF16">
        <v>3.85</v>
      </c>
      <c r="AG16">
        <v>3.7999999999999999E-2</v>
      </c>
      <c r="AH16">
        <v>36.1</v>
      </c>
      <c r="AI16" s="1">
        <v>6472</v>
      </c>
      <c r="AJ16">
        <v>0.373</v>
      </c>
      <c r="AL16">
        <v>7.0999999999999994E-2</v>
      </c>
      <c r="AM16">
        <v>24.574000000000002</v>
      </c>
      <c r="AN16">
        <v>16.353000000000002</v>
      </c>
      <c r="AO16">
        <v>598.41700000000003</v>
      </c>
    </row>
    <row r="17" spans="1:41" x14ac:dyDescent="0.2">
      <c r="A17">
        <v>2023</v>
      </c>
      <c r="B17">
        <v>100205</v>
      </c>
      <c r="C17">
        <v>2631</v>
      </c>
      <c r="D17" t="s">
        <v>137</v>
      </c>
      <c r="E17" t="s">
        <v>42</v>
      </c>
      <c r="F17">
        <v>334413</v>
      </c>
      <c r="G17" t="s">
        <v>138</v>
      </c>
      <c r="H17" t="s">
        <v>139</v>
      </c>
      <c r="I17" t="s">
        <v>126</v>
      </c>
      <c r="J17" t="s">
        <v>46</v>
      </c>
      <c r="K17">
        <v>92123</v>
      </c>
      <c r="L17">
        <v>32.82</v>
      </c>
      <c r="M17">
        <v>-117.142</v>
      </c>
      <c r="N17" t="s">
        <v>140</v>
      </c>
      <c r="O17" t="s">
        <v>126</v>
      </c>
      <c r="P17" t="s">
        <v>127</v>
      </c>
      <c r="Q17" t="s">
        <v>126</v>
      </c>
      <c r="R17" t="s">
        <v>75</v>
      </c>
      <c r="S17" s="1">
        <v>7850</v>
      </c>
      <c r="T17" s="1">
        <v>7850</v>
      </c>
      <c r="U17">
        <v>0</v>
      </c>
      <c r="V17" s="1">
        <v>7842</v>
      </c>
      <c r="W17">
        <v>0.15</v>
      </c>
      <c r="X17">
        <v>0.02</v>
      </c>
      <c r="Y17" s="12">
        <v>0</v>
      </c>
      <c r="Z17" s="12">
        <v>4.2</v>
      </c>
      <c r="AA17" s="12">
        <v>8.6</v>
      </c>
      <c r="AB17" s="12">
        <v>0.1</v>
      </c>
      <c r="AC17" s="12">
        <v>1.3</v>
      </c>
      <c r="AD17" s="12">
        <v>1.3</v>
      </c>
      <c r="AE17">
        <v>76.900000000000006</v>
      </c>
      <c r="AF17">
        <v>3.55</v>
      </c>
      <c r="AG17">
        <v>0</v>
      </c>
      <c r="AH17">
        <v>1.06</v>
      </c>
      <c r="AI17">
        <v>836</v>
      </c>
      <c r="AJ17">
        <v>3.5000000000000003E-2</v>
      </c>
      <c r="AL17">
        <v>1E-3</v>
      </c>
      <c r="AM17">
        <v>3.484</v>
      </c>
      <c r="AN17">
        <v>2.2559999999999998</v>
      </c>
      <c r="AO17">
        <v>91.197000000000003</v>
      </c>
    </row>
    <row r="18" spans="1:41" x14ac:dyDescent="0.2">
      <c r="A18">
        <v>2023</v>
      </c>
      <c r="B18">
        <v>100207</v>
      </c>
      <c r="C18">
        <v>800234</v>
      </c>
      <c r="D18" t="s">
        <v>141</v>
      </c>
      <c r="E18" t="s">
        <v>42</v>
      </c>
      <c r="F18">
        <v>611310</v>
      </c>
      <c r="G18" t="s">
        <v>103</v>
      </c>
      <c r="H18" t="s">
        <v>142</v>
      </c>
      <c r="I18" t="s">
        <v>143</v>
      </c>
      <c r="J18" t="s">
        <v>46</v>
      </c>
      <c r="K18">
        <v>92354</v>
      </c>
      <c r="L18">
        <v>34.051000000000002</v>
      </c>
      <c r="M18">
        <v>-117.26300000000001</v>
      </c>
      <c r="N18" t="s">
        <v>144</v>
      </c>
      <c r="O18" t="s">
        <v>57</v>
      </c>
      <c r="P18" t="s">
        <v>49</v>
      </c>
      <c r="Q18" t="s">
        <v>50</v>
      </c>
      <c r="R18" t="s">
        <v>51</v>
      </c>
      <c r="S18" s="1">
        <v>49176</v>
      </c>
      <c r="T18" s="1">
        <v>49176</v>
      </c>
      <c r="U18">
        <v>0</v>
      </c>
      <c r="V18" s="1">
        <v>49125</v>
      </c>
      <c r="W18">
        <v>0.93</v>
      </c>
      <c r="X18">
        <v>0.09</v>
      </c>
      <c r="Y18" s="12">
        <v>49165</v>
      </c>
      <c r="Z18" s="12">
        <v>10.7</v>
      </c>
      <c r="AA18" s="12">
        <v>17.7</v>
      </c>
      <c r="AB18" s="12">
        <v>1.2</v>
      </c>
      <c r="AC18" s="12">
        <v>3.3</v>
      </c>
      <c r="AD18" s="12">
        <v>3.3</v>
      </c>
      <c r="AE18">
        <v>11.8</v>
      </c>
      <c r="AF18">
        <v>2.34</v>
      </c>
      <c r="AG18">
        <v>1E-3</v>
      </c>
      <c r="AH18">
        <v>313</v>
      </c>
      <c r="AI18" s="1">
        <v>1277</v>
      </c>
      <c r="AJ18">
        <v>1.94</v>
      </c>
      <c r="AL18">
        <v>4.1000000000000002E-2</v>
      </c>
      <c r="AM18">
        <v>4.7460000000000004</v>
      </c>
      <c r="AN18">
        <v>4.359</v>
      </c>
      <c r="AO18">
        <v>803.08900000000006</v>
      </c>
    </row>
    <row r="19" spans="1:41" x14ac:dyDescent="0.2">
      <c r="A19">
        <v>2023</v>
      </c>
      <c r="B19">
        <v>100217</v>
      </c>
      <c r="C19">
        <v>181667</v>
      </c>
      <c r="D19" t="s">
        <v>145</v>
      </c>
      <c r="E19" t="s">
        <v>111</v>
      </c>
      <c r="F19">
        <v>324110</v>
      </c>
      <c r="G19" t="s">
        <v>112</v>
      </c>
      <c r="H19" t="s">
        <v>146</v>
      </c>
      <c r="I19" t="s">
        <v>147</v>
      </c>
      <c r="J19" t="s">
        <v>46</v>
      </c>
      <c r="K19">
        <v>90504</v>
      </c>
      <c r="L19">
        <v>33.851999999999997</v>
      </c>
      <c r="M19">
        <v>-118.331</v>
      </c>
      <c r="N19" t="s">
        <v>148</v>
      </c>
      <c r="O19" t="s">
        <v>48</v>
      </c>
      <c r="P19" t="s">
        <v>49</v>
      </c>
      <c r="Q19" t="s">
        <v>50</v>
      </c>
      <c r="R19" t="s">
        <v>51</v>
      </c>
      <c r="S19" s="1">
        <v>1203650</v>
      </c>
      <c r="T19" s="1">
        <v>1203650</v>
      </c>
      <c r="U19">
        <v>0</v>
      </c>
      <c r="V19" s="1">
        <v>1197886</v>
      </c>
      <c r="W19">
        <v>111.04</v>
      </c>
      <c r="X19">
        <v>10.029999999999999</v>
      </c>
      <c r="Y19" s="12">
        <v>1203247</v>
      </c>
      <c r="Z19" s="12">
        <v>530.5</v>
      </c>
      <c r="AA19" s="12">
        <v>428.5</v>
      </c>
      <c r="AB19" s="12">
        <v>199.8</v>
      </c>
      <c r="AC19" s="12">
        <v>99.7</v>
      </c>
      <c r="AD19" s="12">
        <v>90.7</v>
      </c>
      <c r="AE19" s="1">
        <v>2631</v>
      </c>
      <c r="AF19">
        <v>132</v>
      </c>
      <c r="AG19">
        <v>0.69299999999999995</v>
      </c>
      <c r="AH19">
        <v>87.6</v>
      </c>
      <c r="AI19" s="1">
        <v>11085</v>
      </c>
      <c r="AJ19" s="1">
        <v>6756</v>
      </c>
      <c r="AK19" s="1">
        <v>3932</v>
      </c>
      <c r="AL19">
        <v>148</v>
      </c>
      <c r="AM19">
        <v>444.166</v>
      </c>
      <c r="AN19">
        <v>861.28200000000004</v>
      </c>
      <c r="AO19" s="2">
        <v>4682.45</v>
      </c>
    </row>
    <row r="20" spans="1:41" x14ac:dyDescent="0.2">
      <c r="A20">
        <v>2023</v>
      </c>
      <c r="B20">
        <v>100235</v>
      </c>
      <c r="C20">
        <v>1267</v>
      </c>
      <c r="D20" t="s">
        <v>149</v>
      </c>
      <c r="E20" t="s">
        <v>67</v>
      </c>
      <c r="F20">
        <v>611310</v>
      </c>
      <c r="G20" t="s">
        <v>103</v>
      </c>
      <c r="H20" t="s">
        <v>150</v>
      </c>
      <c r="I20" t="s">
        <v>151</v>
      </c>
      <c r="J20" t="s">
        <v>46</v>
      </c>
      <c r="K20">
        <v>93012</v>
      </c>
      <c r="L20">
        <v>34.161999999999999</v>
      </c>
      <c r="M20">
        <v>-119.048</v>
      </c>
      <c r="N20" t="s">
        <v>152</v>
      </c>
      <c r="O20" t="s">
        <v>153</v>
      </c>
      <c r="P20" t="s">
        <v>154</v>
      </c>
      <c r="Q20" t="s">
        <v>155</v>
      </c>
      <c r="R20" t="s">
        <v>51</v>
      </c>
      <c r="S20" s="1">
        <v>2325</v>
      </c>
      <c r="T20" s="1">
        <v>2325</v>
      </c>
      <c r="U20">
        <v>0</v>
      </c>
      <c r="V20" s="1">
        <v>2323</v>
      </c>
      <c r="W20">
        <v>0.04</v>
      </c>
      <c r="X20">
        <v>0</v>
      </c>
      <c r="Y20" s="12">
        <v>2325</v>
      </c>
      <c r="Z20" s="12">
        <v>0.1</v>
      </c>
      <c r="AA20" s="12">
        <v>0.2</v>
      </c>
      <c r="AB20" s="12">
        <v>0</v>
      </c>
      <c r="AC20" s="12">
        <v>0</v>
      </c>
      <c r="AD20" s="12">
        <v>0</v>
      </c>
      <c r="AE20">
        <v>6.7000000000000004E-2</v>
      </c>
      <c r="AF20">
        <v>2E-3</v>
      </c>
      <c r="AH20">
        <v>20.8</v>
      </c>
      <c r="AI20">
        <v>3.66</v>
      </c>
      <c r="AL20">
        <v>2E-3</v>
      </c>
      <c r="AM20">
        <v>1.9E-2</v>
      </c>
      <c r="AN20">
        <v>8.8999999999999996E-2</v>
      </c>
      <c r="AO20">
        <v>48.386000000000003</v>
      </c>
    </row>
    <row r="21" spans="1:41" x14ac:dyDescent="0.2">
      <c r="A21">
        <v>2023</v>
      </c>
      <c r="B21">
        <v>100236</v>
      </c>
      <c r="C21">
        <v>47781</v>
      </c>
      <c r="D21" t="s">
        <v>156</v>
      </c>
      <c r="E21" t="s">
        <v>67</v>
      </c>
      <c r="F21">
        <v>221112</v>
      </c>
      <c r="G21" t="s">
        <v>96</v>
      </c>
      <c r="H21" t="s">
        <v>157</v>
      </c>
      <c r="I21" t="s">
        <v>158</v>
      </c>
      <c r="J21" t="s">
        <v>46</v>
      </c>
      <c r="K21">
        <v>91710</v>
      </c>
      <c r="L21">
        <v>33.99</v>
      </c>
      <c r="M21">
        <v>-117.681</v>
      </c>
      <c r="N21" t="s">
        <v>159</v>
      </c>
      <c r="O21" t="s">
        <v>57</v>
      </c>
      <c r="P21" t="s">
        <v>49</v>
      </c>
      <c r="Q21" t="s">
        <v>50</v>
      </c>
      <c r="R21" t="s">
        <v>75</v>
      </c>
      <c r="S21" s="1">
        <v>12370</v>
      </c>
      <c r="T21" s="1">
        <v>12370</v>
      </c>
      <c r="U21">
        <v>0</v>
      </c>
      <c r="V21" s="1">
        <v>12357</v>
      </c>
      <c r="W21">
        <v>0.23</v>
      </c>
      <c r="X21">
        <v>0.02</v>
      </c>
      <c r="Y21" s="12">
        <v>0</v>
      </c>
      <c r="Z21" s="12">
        <v>1.1000000000000001</v>
      </c>
      <c r="AA21" s="12">
        <v>1.4</v>
      </c>
      <c r="AB21" s="12">
        <v>0.1</v>
      </c>
      <c r="AC21" s="12">
        <v>1.2</v>
      </c>
      <c r="AD21" s="12">
        <v>1</v>
      </c>
      <c r="AE21">
        <v>1.97</v>
      </c>
      <c r="AF21">
        <v>0.06</v>
      </c>
      <c r="AG21">
        <v>0</v>
      </c>
      <c r="AH21">
        <v>3.67</v>
      </c>
      <c r="AI21">
        <v>22.9</v>
      </c>
      <c r="AJ21">
        <v>0.02</v>
      </c>
      <c r="AL21">
        <v>0</v>
      </c>
      <c r="AM21">
        <v>0.19900000000000001</v>
      </c>
      <c r="AN21">
        <v>0.193</v>
      </c>
      <c r="AO21">
        <v>11.141999999999999</v>
      </c>
    </row>
    <row r="22" spans="1:41" x14ac:dyDescent="0.2">
      <c r="A22">
        <v>2023</v>
      </c>
      <c r="B22">
        <v>100252</v>
      </c>
      <c r="C22">
        <v>195</v>
      </c>
      <c r="D22" t="s">
        <v>160</v>
      </c>
      <c r="E22" t="s">
        <v>67</v>
      </c>
      <c r="F22">
        <v>221112</v>
      </c>
      <c r="G22" t="s">
        <v>96</v>
      </c>
      <c r="H22" t="s">
        <v>161</v>
      </c>
      <c r="I22" t="s">
        <v>100</v>
      </c>
      <c r="J22" t="s">
        <v>46</v>
      </c>
      <c r="K22">
        <v>95826</v>
      </c>
      <c r="L22">
        <v>38.53</v>
      </c>
      <c r="M22">
        <v>-121.399</v>
      </c>
      <c r="N22" t="s">
        <v>162</v>
      </c>
      <c r="O22" t="s">
        <v>100</v>
      </c>
      <c r="P22" t="s">
        <v>101</v>
      </c>
      <c r="Q22" t="s">
        <v>74</v>
      </c>
      <c r="R22" t="s">
        <v>51</v>
      </c>
      <c r="S22" s="1">
        <v>316920</v>
      </c>
      <c r="T22" s="1">
        <v>316920</v>
      </c>
      <c r="U22">
        <v>0</v>
      </c>
      <c r="V22" s="1">
        <v>316598</v>
      </c>
      <c r="W22">
        <v>5.88</v>
      </c>
      <c r="X22">
        <v>0.59</v>
      </c>
      <c r="Y22" s="12">
        <v>316920</v>
      </c>
      <c r="Z22" s="12">
        <v>1</v>
      </c>
      <c r="AA22" s="12">
        <v>20.8</v>
      </c>
      <c r="AB22" s="12">
        <v>1.8</v>
      </c>
      <c r="AC22" s="12">
        <v>6.4</v>
      </c>
      <c r="AD22" s="12">
        <v>6.4</v>
      </c>
      <c r="AE22">
        <v>5.99</v>
      </c>
      <c r="AF22">
        <v>0.372</v>
      </c>
      <c r="AI22">
        <v>103</v>
      </c>
      <c r="AL22">
        <v>1.4E-2</v>
      </c>
      <c r="AM22">
        <v>3.6389999999999998</v>
      </c>
      <c r="AN22">
        <v>5.3609999999999998</v>
      </c>
      <c r="AO22">
        <v>10.050000000000001</v>
      </c>
    </row>
    <row r="23" spans="1:41" x14ac:dyDescent="0.2">
      <c r="A23">
        <v>2023</v>
      </c>
      <c r="B23">
        <v>100255</v>
      </c>
      <c r="C23">
        <v>17301</v>
      </c>
      <c r="D23" t="s">
        <v>163</v>
      </c>
      <c r="E23" t="s">
        <v>42</v>
      </c>
      <c r="F23">
        <v>221320</v>
      </c>
      <c r="G23" t="s">
        <v>122</v>
      </c>
      <c r="H23" t="s">
        <v>164</v>
      </c>
      <c r="I23" t="s">
        <v>165</v>
      </c>
      <c r="J23" t="s">
        <v>46</v>
      </c>
      <c r="K23">
        <v>92708</v>
      </c>
      <c r="L23">
        <v>33.694000000000003</v>
      </c>
      <c r="M23">
        <v>-117.938</v>
      </c>
      <c r="N23" t="s">
        <v>166</v>
      </c>
      <c r="O23" t="s">
        <v>167</v>
      </c>
      <c r="P23" t="s">
        <v>49</v>
      </c>
      <c r="Q23" t="s">
        <v>50</v>
      </c>
      <c r="R23" t="s">
        <v>75</v>
      </c>
      <c r="S23" s="1">
        <v>24479</v>
      </c>
      <c r="T23" s="1">
        <v>5516</v>
      </c>
      <c r="U23" s="1">
        <v>18963</v>
      </c>
      <c r="V23" s="1">
        <v>24375</v>
      </c>
      <c r="W23">
        <v>1.27</v>
      </c>
      <c r="X23">
        <v>0.24</v>
      </c>
      <c r="Y23" s="12">
        <v>0</v>
      </c>
      <c r="Z23" s="12">
        <v>16.600000000000001</v>
      </c>
      <c r="AA23" s="12">
        <v>10.7</v>
      </c>
      <c r="AB23" s="12">
        <v>0</v>
      </c>
      <c r="AC23" s="12">
        <v>0.9</v>
      </c>
      <c r="AD23" s="12">
        <v>0.9</v>
      </c>
      <c r="AE23">
        <v>559</v>
      </c>
      <c r="AF23">
        <v>28.6</v>
      </c>
      <c r="AG23">
        <v>1E-3</v>
      </c>
      <c r="AH23">
        <v>310</v>
      </c>
      <c r="AI23" s="1">
        <v>1057</v>
      </c>
      <c r="AJ23">
        <v>1.97</v>
      </c>
      <c r="AK23" s="1">
        <v>2039</v>
      </c>
      <c r="AL23">
        <v>0.74399999999999999</v>
      </c>
      <c r="AM23">
        <v>18.231000000000002</v>
      </c>
      <c r="AN23">
        <v>13.888</v>
      </c>
      <c r="AO23">
        <v>994.69200000000001</v>
      </c>
    </row>
    <row r="24" spans="1:41" x14ac:dyDescent="0.2">
      <c r="A24">
        <v>2023</v>
      </c>
      <c r="B24">
        <v>100258</v>
      </c>
      <c r="C24">
        <v>22789</v>
      </c>
      <c r="D24" t="s">
        <v>168</v>
      </c>
      <c r="E24" t="s">
        <v>67</v>
      </c>
      <c r="F24">
        <v>325188</v>
      </c>
      <c r="G24" t="s">
        <v>169</v>
      </c>
      <c r="H24" t="s">
        <v>170</v>
      </c>
      <c r="I24" t="s">
        <v>171</v>
      </c>
      <c r="J24" t="s">
        <v>46</v>
      </c>
      <c r="K24">
        <v>94553</v>
      </c>
      <c r="L24">
        <v>38.031999999999996</v>
      </c>
      <c r="M24">
        <v>-122.11499999999999</v>
      </c>
      <c r="N24" t="s">
        <v>172</v>
      </c>
      <c r="O24" t="s">
        <v>173</v>
      </c>
      <c r="P24" t="s">
        <v>108</v>
      </c>
      <c r="Q24" t="s">
        <v>109</v>
      </c>
      <c r="R24" t="s">
        <v>75</v>
      </c>
      <c r="S24" s="1">
        <v>13230</v>
      </c>
      <c r="T24" s="1">
        <v>13230</v>
      </c>
      <c r="U24">
        <v>0</v>
      </c>
      <c r="V24" s="1">
        <v>13217</v>
      </c>
      <c r="W24">
        <v>0.25</v>
      </c>
      <c r="X24">
        <v>0.03</v>
      </c>
      <c r="Y24" s="12">
        <v>0</v>
      </c>
      <c r="Z24" s="12">
        <v>1</v>
      </c>
      <c r="AA24" s="12">
        <v>51.1</v>
      </c>
      <c r="AB24" s="12">
        <v>363.7</v>
      </c>
      <c r="AC24" s="12">
        <v>10</v>
      </c>
      <c r="AD24" s="12">
        <v>9.6</v>
      </c>
      <c r="AE24">
        <v>3.26</v>
      </c>
      <c r="AG24">
        <v>0</v>
      </c>
      <c r="AH24">
        <v>1.35</v>
      </c>
      <c r="AI24">
        <v>19</v>
      </c>
      <c r="AK24">
        <v>526</v>
      </c>
      <c r="AL24">
        <v>1.0999999999999999E-2</v>
      </c>
      <c r="AM24">
        <v>6.2830000000000004</v>
      </c>
      <c r="AN24">
        <v>49.048000000000002</v>
      </c>
      <c r="AO24">
        <v>5.016</v>
      </c>
    </row>
    <row r="25" spans="1:41" x14ac:dyDescent="0.2">
      <c r="A25">
        <v>2023</v>
      </c>
      <c r="B25">
        <v>100259</v>
      </c>
      <c r="D25" t="s">
        <v>174</v>
      </c>
      <c r="E25" t="s">
        <v>42</v>
      </c>
      <c r="F25">
        <v>325188</v>
      </c>
      <c r="G25" t="s">
        <v>169</v>
      </c>
      <c r="H25" t="s">
        <v>175</v>
      </c>
      <c r="I25" t="s">
        <v>176</v>
      </c>
      <c r="J25" t="s">
        <v>46</v>
      </c>
      <c r="K25">
        <v>90810</v>
      </c>
      <c r="L25">
        <v>33.843000000000004</v>
      </c>
      <c r="M25">
        <v>-118.233</v>
      </c>
      <c r="N25" t="s">
        <v>177</v>
      </c>
      <c r="O25" t="s">
        <v>48</v>
      </c>
      <c r="P25" t="s">
        <v>49</v>
      </c>
      <c r="Q25" t="s">
        <v>50</v>
      </c>
      <c r="R25" t="s">
        <v>51</v>
      </c>
      <c r="S25" s="1">
        <v>35835</v>
      </c>
      <c r="T25" s="1">
        <v>35835</v>
      </c>
      <c r="U25">
        <v>0</v>
      </c>
      <c r="V25" s="1">
        <v>35798</v>
      </c>
      <c r="W25">
        <v>0.68</v>
      </c>
      <c r="X25">
        <v>7.0000000000000007E-2</v>
      </c>
      <c r="Y25" s="12">
        <v>35835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</row>
    <row r="26" spans="1:41" x14ac:dyDescent="0.2">
      <c r="A26">
        <v>2023</v>
      </c>
      <c r="B26">
        <v>100263</v>
      </c>
      <c r="C26">
        <v>3011</v>
      </c>
      <c r="D26" t="s">
        <v>178</v>
      </c>
      <c r="E26" t="s">
        <v>67</v>
      </c>
      <c r="F26">
        <v>221112</v>
      </c>
      <c r="G26" t="s">
        <v>96</v>
      </c>
      <c r="H26" t="s">
        <v>179</v>
      </c>
      <c r="I26" t="s">
        <v>180</v>
      </c>
      <c r="J26" t="s">
        <v>46</v>
      </c>
      <c r="K26">
        <v>94025</v>
      </c>
      <c r="L26">
        <v>37.457999999999998</v>
      </c>
      <c r="M26">
        <v>-122.176</v>
      </c>
      <c r="N26" t="s">
        <v>181</v>
      </c>
      <c r="O26" t="s">
        <v>182</v>
      </c>
      <c r="P26" t="s">
        <v>108</v>
      </c>
      <c r="Q26" t="s">
        <v>109</v>
      </c>
      <c r="R26" t="s">
        <v>75</v>
      </c>
      <c r="S26" s="1">
        <v>22625</v>
      </c>
      <c r="T26" s="1">
        <v>22625</v>
      </c>
      <c r="U26">
        <v>0</v>
      </c>
      <c r="V26" s="1">
        <v>22602</v>
      </c>
      <c r="W26">
        <v>0.43</v>
      </c>
      <c r="X26">
        <v>0.04</v>
      </c>
      <c r="Y26" s="12">
        <v>0</v>
      </c>
      <c r="Z26" s="12">
        <v>8.1</v>
      </c>
      <c r="AA26" s="12">
        <v>18.3</v>
      </c>
      <c r="AB26" s="12">
        <v>0.1</v>
      </c>
      <c r="AC26" s="12">
        <v>2.8</v>
      </c>
      <c r="AD26" s="12">
        <v>2.8</v>
      </c>
      <c r="AE26">
        <v>36.1</v>
      </c>
      <c r="AF26">
        <v>2.4E-2</v>
      </c>
      <c r="AG26">
        <v>7.0000000000000001E-3</v>
      </c>
      <c r="AH26">
        <v>0.11600000000000001</v>
      </c>
      <c r="AI26" s="1">
        <v>2717</v>
      </c>
      <c r="AL26">
        <v>8.8999999999999996E-2</v>
      </c>
      <c r="AM26">
        <v>9.4760000000000009</v>
      </c>
      <c r="AN26">
        <v>6.4470000000000001</v>
      </c>
      <c r="AO26">
        <v>148.08600000000001</v>
      </c>
    </row>
    <row r="27" spans="1:41" x14ac:dyDescent="0.2">
      <c r="A27">
        <v>2023</v>
      </c>
      <c r="B27">
        <v>100273</v>
      </c>
      <c r="C27">
        <v>1482</v>
      </c>
      <c r="D27" t="s">
        <v>183</v>
      </c>
      <c r="E27" t="s">
        <v>42</v>
      </c>
      <c r="F27">
        <v>611310</v>
      </c>
      <c r="G27" t="s">
        <v>103</v>
      </c>
      <c r="H27" t="s">
        <v>184</v>
      </c>
      <c r="I27" t="s">
        <v>185</v>
      </c>
      <c r="J27" t="s">
        <v>46</v>
      </c>
      <c r="K27">
        <v>95064</v>
      </c>
      <c r="L27">
        <v>36.976999999999997</v>
      </c>
      <c r="M27">
        <v>-122.054</v>
      </c>
      <c r="N27" t="s">
        <v>186</v>
      </c>
      <c r="O27" t="s">
        <v>185</v>
      </c>
      <c r="P27" t="s">
        <v>187</v>
      </c>
      <c r="Q27" t="s">
        <v>188</v>
      </c>
      <c r="R27" t="s">
        <v>51</v>
      </c>
      <c r="S27" s="1">
        <v>28841</v>
      </c>
      <c r="T27" s="1">
        <v>28841</v>
      </c>
      <c r="U27">
        <v>0</v>
      </c>
      <c r="V27" s="1">
        <v>28812</v>
      </c>
      <c r="W27">
        <v>0.54</v>
      </c>
      <c r="X27">
        <v>0.05</v>
      </c>
      <c r="Y27" s="12">
        <v>28827</v>
      </c>
      <c r="Z27" s="12">
        <v>0.4</v>
      </c>
      <c r="AA27" s="12">
        <v>4</v>
      </c>
      <c r="AB27" s="12">
        <v>0.6</v>
      </c>
      <c r="AC27" s="12">
        <v>7.2</v>
      </c>
      <c r="AD27" s="12">
        <v>5.4</v>
      </c>
      <c r="AE27">
        <v>0</v>
      </c>
      <c r="AF27">
        <v>0</v>
      </c>
      <c r="AH27">
        <v>0</v>
      </c>
      <c r="AI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>
        <v>2023</v>
      </c>
      <c r="B28">
        <v>100296</v>
      </c>
      <c r="C28">
        <v>1251</v>
      </c>
      <c r="D28" t="s">
        <v>189</v>
      </c>
      <c r="E28" t="s">
        <v>67</v>
      </c>
      <c r="F28">
        <v>221112</v>
      </c>
      <c r="G28" t="s">
        <v>96</v>
      </c>
      <c r="H28" t="s">
        <v>190</v>
      </c>
      <c r="I28" t="s">
        <v>191</v>
      </c>
      <c r="J28" t="s">
        <v>46</v>
      </c>
      <c r="K28">
        <v>93251</v>
      </c>
      <c r="L28">
        <v>35.319000000000003</v>
      </c>
      <c r="M28">
        <v>-119.66200000000001</v>
      </c>
      <c r="N28" t="s">
        <v>192</v>
      </c>
      <c r="O28" t="s">
        <v>193</v>
      </c>
      <c r="P28" t="s">
        <v>194</v>
      </c>
      <c r="Q28" t="s">
        <v>195</v>
      </c>
      <c r="R28" t="s">
        <v>75</v>
      </c>
      <c r="S28" s="1">
        <v>19132</v>
      </c>
      <c r="T28" s="1">
        <v>19132</v>
      </c>
      <c r="U28">
        <v>0</v>
      </c>
      <c r="V28" s="1">
        <v>19113</v>
      </c>
      <c r="W28">
        <v>0.36</v>
      </c>
      <c r="X28">
        <v>0.04</v>
      </c>
      <c r="Y28" s="12">
        <v>0</v>
      </c>
      <c r="Z28" s="12">
        <v>0.1</v>
      </c>
      <c r="AA28" s="12">
        <v>2.2999999999999998</v>
      </c>
      <c r="AB28" s="12">
        <v>0</v>
      </c>
      <c r="AC28" s="12">
        <v>0.3</v>
      </c>
      <c r="AD28" s="12">
        <v>0.3</v>
      </c>
      <c r="AE28">
        <v>0.30099999999999999</v>
      </c>
      <c r="AF28">
        <v>0.14199999999999999</v>
      </c>
      <c r="AI28">
        <v>6.61</v>
      </c>
      <c r="AM28">
        <v>0.32500000000000001</v>
      </c>
      <c r="AN28">
        <v>0.36799999999999999</v>
      </c>
      <c r="AO28">
        <v>1.4219999999999999</v>
      </c>
    </row>
    <row r="29" spans="1:41" x14ac:dyDescent="0.2">
      <c r="A29">
        <v>2023</v>
      </c>
      <c r="B29">
        <v>100300</v>
      </c>
      <c r="C29">
        <v>28</v>
      </c>
      <c r="D29" t="s">
        <v>196</v>
      </c>
      <c r="E29" t="s">
        <v>42</v>
      </c>
      <c r="F29">
        <v>212391</v>
      </c>
      <c r="G29" t="s">
        <v>53</v>
      </c>
      <c r="H29" t="s">
        <v>197</v>
      </c>
      <c r="I29" t="s">
        <v>198</v>
      </c>
      <c r="J29" t="s">
        <v>46</v>
      </c>
      <c r="K29">
        <v>93516</v>
      </c>
      <c r="L29">
        <v>35.034999999999997</v>
      </c>
      <c r="M29">
        <v>-117.699</v>
      </c>
      <c r="N29" t="s">
        <v>199</v>
      </c>
      <c r="O29" t="s">
        <v>193</v>
      </c>
      <c r="P29" t="s">
        <v>200</v>
      </c>
      <c r="Q29" t="s">
        <v>59</v>
      </c>
      <c r="R29" t="s">
        <v>51</v>
      </c>
      <c r="S29" s="1">
        <v>352751</v>
      </c>
      <c r="T29" s="1">
        <v>352751</v>
      </c>
      <c r="U29">
        <v>0</v>
      </c>
      <c r="V29" s="1">
        <v>352387</v>
      </c>
      <c r="W29">
        <v>6.65</v>
      </c>
      <c r="X29">
        <v>0.67</v>
      </c>
      <c r="Y29" s="12">
        <v>352751</v>
      </c>
      <c r="Z29" s="12">
        <v>24.8</v>
      </c>
      <c r="AA29" s="12">
        <v>203.2</v>
      </c>
      <c r="AB29" s="12">
        <v>2</v>
      </c>
      <c r="AC29" s="12">
        <v>117.3</v>
      </c>
      <c r="AD29" s="12">
        <v>48.7</v>
      </c>
      <c r="AE29">
        <v>4.75</v>
      </c>
      <c r="AG29">
        <v>0.13300000000000001</v>
      </c>
      <c r="AH29" s="1">
        <v>1155</v>
      </c>
      <c r="AL29">
        <v>9.4E-2</v>
      </c>
      <c r="AM29">
        <v>3.1859999999999999</v>
      </c>
      <c r="AN29">
        <v>9.6549999999999994</v>
      </c>
      <c r="AO29" s="2">
        <v>2922.1410000000001</v>
      </c>
    </row>
    <row r="30" spans="1:41" x14ac:dyDescent="0.2">
      <c r="A30">
        <v>2023</v>
      </c>
      <c r="B30">
        <v>100303</v>
      </c>
      <c r="C30">
        <v>21359</v>
      </c>
      <c r="D30" t="s">
        <v>201</v>
      </c>
      <c r="E30" t="s">
        <v>111</v>
      </c>
      <c r="F30">
        <v>324110</v>
      </c>
      <c r="G30" t="s">
        <v>112</v>
      </c>
      <c r="H30" t="s">
        <v>202</v>
      </c>
      <c r="I30" t="s">
        <v>203</v>
      </c>
      <c r="J30" t="s">
        <v>46</v>
      </c>
      <c r="K30">
        <v>94572</v>
      </c>
      <c r="L30">
        <v>38.045999999999999</v>
      </c>
      <c r="M30">
        <v>-122.258</v>
      </c>
      <c r="N30" t="s">
        <v>204</v>
      </c>
      <c r="O30" t="s">
        <v>173</v>
      </c>
      <c r="P30" t="s">
        <v>108</v>
      </c>
      <c r="Q30" t="s">
        <v>109</v>
      </c>
      <c r="R30" t="s">
        <v>51</v>
      </c>
      <c r="S30" s="1">
        <v>1130671</v>
      </c>
      <c r="T30" s="1">
        <v>1036356</v>
      </c>
      <c r="U30" s="1">
        <v>94315</v>
      </c>
      <c r="V30" s="1">
        <v>1124826</v>
      </c>
      <c r="W30">
        <v>95.94</v>
      </c>
      <c r="X30">
        <v>11.57</v>
      </c>
      <c r="Y30" s="12">
        <v>1130007</v>
      </c>
      <c r="Z30" s="12">
        <v>76.7</v>
      </c>
      <c r="AA30" s="12">
        <v>192.7</v>
      </c>
      <c r="AB30" s="12">
        <v>273.5</v>
      </c>
      <c r="AC30" s="12">
        <v>99.2</v>
      </c>
      <c r="AD30" s="12">
        <v>98.5</v>
      </c>
      <c r="AE30" s="1">
        <v>1173</v>
      </c>
      <c r="AF30">
        <v>81.099999999999994</v>
      </c>
      <c r="AG30">
        <v>2.84</v>
      </c>
      <c r="AH30">
        <v>8.91</v>
      </c>
      <c r="AI30" s="1">
        <v>2426</v>
      </c>
      <c r="AJ30" s="1">
        <v>11269</v>
      </c>
      <c r="AK30" s="1">
        <v>2673</v>
      </c>
      <c r="AL30">
        <v>69.900000000000006</v>
      </c>
      <c r="AM30">
        <v>108.416</v>
      </c>
      <c r="AN30">
        <v>253.24600000000001</v>
      </c>
      <c r="AO30" s="2">
        <v>4713.1580000000004</v>
      </c>
    </row>
    <row r="31" spans="1:41" x14ac:dyDescent="0.2">
      <c r="A31">
        <v>2023</v>
      </c>
      <c r="B31">
        <v>100305</v>
      </c>
      <c r="C31">
        <v>25</v>
      </c>
      <c r="D31" t="s">
        <v>205</v>
      </c>
      <c r="E31" t="s">
        <v>42</v>
      </c>
      <c r="F31">
        <v>611310</v>
      </c>
      <c r="G31" t="s">
        <v>103</v>
      </c>
      <c r="H31" t="s">
        <v>206</v>
      </c>
      <c r="I31" t="s">
        <v>207</v>
      </c>
      <c r="J31" t="s">
        <v>46</v>
      </c>
      <c r="K31">
        <v>95616</v>
      </c>
      <c r="L31">
        <v>38.540999999999997</v>
      </c>
      <c r="M31">
        <v>-121.748</v>
      </c>
      <c r="N31" t="s">
        <v>208</v>
      </c>
      <c r="O31" t="s">
        <v>209</v>
      </c>
      <c r="P31" t="s">
        <v>210</v>
      </c>
      <c r="Q31" t="s">
        <v>74</v>
      </c>
      <c r="R31" t="s">
        <v>51</v>
      </c>
      <c r="S31" s="1">
        <v>49910</v>
      </c>
      <c r="T31" s="1">
        <v>49888</v>
      </c>
      <c r="U31">
        <v>22</v>
      </c>
      <c r="V31" s="1">
        <v>49857</v>
      </c>
      <c r="W31">
        <v>0.95</v>
      </c>
      <c r="X31">
        <v>0.1</v>
      </c>
      <c r="Y31" s="12">
        <v>49551</v>
      </c>
      <c r="Z31" s="12">
        <v>6.2</v>
      </c>
      <c r="AA31" s="12">
        <v>13.4</v>
      </c>
      <c r="AB31" s="12">
        <v>0.4</v>
      </c>
      <c r="AC31" s="12">
        <v>4.0999999999999996</v>
      </c>
      <c r="AD31" s="12">
        <v>3.7</v>
      </c>
      <c r="AE31">
        <v>7.95</v>
      </c>
      <c r="AF31">
        <v>0.19500000000000001</v>
      </c>
      <c r="AG31">
        <v>7.0000000000000001E-3</v>
      </c>
      <c r="AH31">
        <v>255</v>
      </c>
      <c r="AI31">
        <v>64.400000000000006</v>
      </c>
      <c r="AJ31">
        <v>29.9</v>
      </c>
      <c r="AK31">
        <v>13.6</v>
      </c>
      <c r="AL31">
        <v>1.82</v>
      </c>
      <c r="AM31">
        <v>2.6259999999999999</v>
      </c>
      <c r="AN31">
        <v>5.5890000000000004</v>
      </c>
      <c r="AO31">
        <v>642.38800000000003</v>
      </c>
    </row>
    <row r="32" spans="1:41" x14ac:dyDescent="0.2">
      <c r="A32">
        <v>2023</v>
      </c>
      <c r="B32">
        <v>100322</v>
      </c>
      <c r="C32">
        <v>13001</v>
      </c>
      <c r="D32" t="s">
        <v>211</v>
      </c>
      <c r="E32" t="s">
        <v>67</v>
      </c>
      <c r="F32">
        <v>221112</v>
      </c>
      <c r="G32" t="s">
        <v>96</v>
      </c>
      <c r="H32" t="s">
        <v>212</v>
      </c>
      <c r="I32" t="s">
        <v>213</v>
      </c>
      <c r="J32" t="s">
        <v>46</v>
      </c>
      <c r="K32">
        <v>95993</v>
      </c>
      <c r="L32">
        <v>39.14</v>
      </c>
      <c r="M32">
        <v>-121.643</v>
      </c>
      <c r="N32" t="s">
        <v>214</v>
      </c>
      <c r="O32" t="s">
        <v>215</v>
      </c>
      <c r="P32" t="s">
        <v>216</v>
      </c>
      <c r="Q32" t="s">
        <v>74</v>
      </c>
      <c r="R32" t="s">
        <v>51</v>
      </c>
      <c r="S32" s="1">
        <v>9539</v>
      </c>
      <c r="T32" s="1">
        <v>9539</v>
      </c>
      <c r="U32">
        <v>0</v>
      </c>
      <c r="V32" s="1">
        <v>9529</v>
      </c>
      <c r="W32">
        <v>0.18</v>
      </c>
      <c r="X32">
        <v>0.02</v>
      </c>
      <c r="Y32" s="12">
        <v>9539</v>
      </c>
      <c r="Z32" s="12">
        <v>0.6</v>
      </c>
      <c r="AA32" s="12">
        <v>6.6</v>
      </c>
      <c r="AB32" s="12">
        <v>0</v>
      </c>
      <c r="AC32" s="12">
        <v>0.6</v>
      </c>
      <c r="AD32" s="12">
        <v>0.6</v>
      </c>
      <c r="AE32">
        <v>2.02</v>
      </c>
      <c r="AI32">
        <v>16.8</v>
      </c>
      <c r="AM32">
        <v>0.17799999999999999</v>
      </c>
      <c r="AN32">
        <v>0.126</v>
      </c>
      <c r="AO32">
        <v>1.7509999999999999</v>
      </c>
    </row>
    <row r="33" spans="1:41" x14ac:dyDescent="0.2">
      <c r="A33">
        <v>2023</v>
      </c>
      <c r="B33">
        <v>100327</v>
      </c>
      <c r="C33">
        <v>800387</v>
      </c>
      <c r="D33" t="s">
        <v>217</v>
      </c>
      <c r="E33" t="s">
        <v>42</v>
      </c>
      <c r="F33">
        <v>611310</v>
      </c>
      <c r="G33" t="s">
        <v>103</v>
      </c>
      <c r="H33" t="s">
        <v>218</v>
      </c>
      <c r="I33" t="s">
        <v>219</v>
      </c>
      <c r="J33" t="s">
        <v>46</v>
      </c>
      <c r="K33">
        <v>91125</v>
      </c>
      <c r="L33">
        <v>34.134999999999998</v>
      </c>
      <c r="M33">
        <v>-118.128</v>
      </c>
      <c r="N33" t="s">
        <v>220</v>
      </c>
      <c r="O33" t="s">
        <v>48</v>
      </c>
      <c r="P33" t="s">
        <v>49</v>
      </c>
      <c r="Q33" t="s">
        <v>50</v>
      </c>
      <c r="R33" t="s">
        <v>51</v>
      </c>
      <c r="S33" s="1">
        <v>34471</v>
      </c>
      <c r="T33" s="1">
        <v>34471</v>
      </c>
      <c r="U33">
        <v>0</v>
      </c>
      <c r="V33" s="1">
        <v>34435</v>
      </c>
      <c r="W33">
        <v>0.65</v>
      </c>
      <c r="X33">
        <v>7.0000000000000007E-2</v>
      </c>
      <c r="Y33" s="12">
        <v>34471</v>
      </c>
      <c r="Z33" s="12">
        <v>4</v>
      </c>
      <c r="AA33" s="12">
        <v>2.2999999999999998</v>
      </c>
      <c r="AB33" s="12">
        <v>0.9</v>
      </c>
      <c r="AC33" s="12">
        <v>5.4</v>
      </c>
      <c r="AD33" s="12">
        <v>4.9000000000000004</v>
      </c>
      <c r="AE33">
        <v>9.7799999999999994</v>
      </c>
      <c r="AF33">
        <v>0.48499999999999999</v>
      </c>
      <c r="AG33">
        <v>0</v>
      </c>
      <c r="AH33">
        <v>66.3</v>
      </c>
      <c r="AI33">
        <v>103</v>
      </c>
      <c r="AJ33">
        <v>0.36899999999999999</v>
      </c>
      <c r="AL33">
        <v>8.0000000000000002E-3</v>
      </c>
      <c r="AM33">
        <v>1.635</v>
      </c>
      <c r="AN33">
        <v>2.2669999999999999</v>
      </c>
      <c r="AO33">
        <v>206.80199999999999</v>
      </c>
    </row>
    <row r="34" spans="1:41" x14ac:dyDescent="0.2">
      <c r="A34">
        <v>2023</v>
      </c>
      <c r="B34">
        <v>100328</v>
      </c>
      <c r="C34">
        <v>550</v>
      </c>
      <c r="D34" t="s">
        <v>221</v>
      </c>
      <c r="E34" t="s">
        <v>42</v>
      </c>
      <c r="F34">
        <v>221330</v>
      </c>
      <c r="G34" t="s">
        <v>222</v>
      </c>
      <c r="H34" t="s">
        <v>223</v>
      </c>
      <c r="I34" t="s">
        <v>48</v>
      </c>
      <c r="J34" t="s">
        <v>46</v>
      </c>
      <c r="K34">
        <v>90012</v>
      </c>
      <c r="L34">
        <v>34.057000000000002</v>
      </c>
      <c r="M34">
        <v>-118.244</v>
      </c>
      <c r="N34" t="s">
        <v>224</v>
      </c>
      <c r="O34" t="s">
        <v>48</v>
      </c>
      <c r="P34" t="s">
        <v>49</v>
      </c>
      <c r="Q34" t="s">
        <v>50</v>
      </c>
      <c r="R34" t="s">
        <v>51</v>
      </c>
      <c r="S34" s="1">
        <v>27332</v>
      </c>
      <c r="T34" s="1">
        <v>27332</v>
      </c>
      <c r="U34">
        <v>0</v>
      </c>
      <c r="V34" s="1">
        <v>27304</v>
      </c>
      <c r="W34">
        <v>0.51</v>
      </c>
      <c r="X34">
        <v>0.05</v>
      </c>
      <c r="Y34" s="12">
        <v>27332</v>
      </c>
      <c r="Z34" s="12">
        <v>1.4</v>
      </c>
      <c r="AA34" s="12">
        <v>2.8</v>
      </c>
      <c r="AB34" s="12">
        <v>0.2</v>
      </c>
      <c r="AC34" s="12">
        <v>4.9000000000000004</v>
      </c>
      <c r="AD34" s="12">
        <v>3.7</v>
      </c>
      <c r="AE34">
        <v>2.95</v>
      </c>
      <c r="AI34">
        <v>6.26</v>
      </c>
      <c r="AM34">
        <v>0.221</v>
      </c>
      <c r="AN34">
        <v>0.23699999999999999</v>
      </c>
      <c r="AO34">
        <v>1.52</v>
      </c>
    </row>
    <row r="35" spans="1:41" x14ac:dyDescent="0.2">
      <c r="A35">
        <v>2023</v>
      </c>
      <c r="B35">
        <v>100329</v>
      </c>
      <c r="C35">
        <v>171107</v>
      </c>
      <c r="D35" t="s">
        <v>225</v>
      </c>
      <c r="E35" t="s">
        <v>111</v>
      </c>
      <c r="F35">
        <v>324110</v>
      </c>
      <c r="G35" t="s">
        <v>112</v>
      </c>
      <c r="H35" t="s">
        <v>226</v>
      </c>
      <c r="I35" t="s">
        <v>45</v>
      </c>
      <c r="J35" t="s">
        <v>46</v>
      </c>
      <c r="K35">
        <v>90744</v>
      </c>
      <c r="L35">
        <v>33.779000000000003</v>
      </c>
      <c r="M35">
        <v>-118.29</v>
      </c>
      <c r="N35" t="s">
        <v>227</v>
      </c>
      <c r="O35" t="s">
        <v>48</v>
      </c>
      <c r="P35" t="s">
        <v>49</v>
      </c>
      <c r="Q35" t="s">
        <v>50</v>
      </c>
      <c r="R35" t="s">
        <v>51</v>
      </c>
      <c r="S35" s="1">
        <v>1840632</v>
      </c>
      <c r="T35" s="1">
        <v>1840632</v>
      </c>
      <c r="U35">
        <v>0</v>
      </c>
      <c r="V35" s="1">
        <v>1832581</v>
      </c>
      <c r="W35">
        <v>142.22</v>
      </c>
      <c r="X35">
        <v>15.09</v>
      </c>
      <c r="Y35" s="12">
        <v>1839428</v>
      </c>
      <c r="Z35" s="12">
        <v>248.2</v>
      </c>
      <c r="AA35" s="12">
        <v>268</v>
      </c>
      <c r="AB35" s="12">
        <v>114.8</v>
      </c>
      <c r="AC35" s="12">
        <v>141</v>
      </c>
      <c r="AD35" s="12">
        <v>115.5</v>
      </c>
      <c r="AE35">
        <v>629</v>
      </c>
      <c r="AF35">
        <v>450</v>
      </c>
      <c r="AG35">
        <v>0.32500000000000001</v>
      </c>
      <c r="AH35">
        <v>73.2</v>
      </c>
      <c r="AI35" s="1">
        <v>6397</v>
      </c>
      <c r="AJ35">
        <v>437</v>
      </c>
      <c r="AK35" s="1">
        <v>1484</v>
      </c>
      <c r="AL35">
        <v>25.89</v>
      </c>
      <c r="AM35">
        <v>268.84100000000001</v>
      </c>
      <c r="AN35">
        <v>619.39</v>
      </c>
      <c r="AO35" s="2">
        <v>2169.79</v>
      </c>
    </row>
    <row r="36" spans="1:41" x14ac:dyDescent="0.2">
      <c r="A36">
        <v>2023</v>
      </c>
      <c r="B36">
        <v>100338</v>
      </c>
      <c r="C36">
        <v>11866</v>
      </c>
      <c r="D36" t="s">
        <v>228</v>
      </c>
      <c r="E36" t="s">
        <v>67</v>
      </c>
      <c r="F36">
        <v>221112</v>
      </c>
      <c r="G36" t="s">
        <v>96</v>
      </c>
      <c r="H36" t="s">
        <v>229</v>
      </c>
      <c r="I36" t="s">
        <v>230</v>
      </c>
      <c r="J36" t="s">
        <v>46</v>
      </c>
      <c r="K36">
        <v>94565</v>
      </c>
      <c r="L36">
        <v>38.029000000000003</v>
      </c>
      <c r="M36">
        <v>-121.873</v>
      </c>
      <c r="N36" t="s">
        <v>231</v>
      </c>
      <c r="O36" t="s">
        <v>173</v>
      </c>
      <c r="P36" t="s">
        <v>108</v>
      </c>
      <c r="Q36" t="s">
        <v>109</v>
      </c>
      <c r="R36" t="s">
        <v>51</v>
      </c>
      <c r="S36" s="1">
        <v>1208819</v>
      </c>
      <c r="T36" s="1">
        <v>1208819</v>
      </c>
      <c r="U36">
        <v>0</v>
      </c>
      <c r="V36" s="1">
        <v>1207571</v>
      </c>
      <c r="W36">
        <v>22.78</v>
      </c>
      <c r="X36">
        <v>2.2799999999999998</v>
      </c>
      <c r="Y36" s="12">
        <v>1208819</v>
      </c>
      <c r="Z36" s="12">
        <v>24.4</v>
      </c>
      <c r="AA36" s="12">
        <v>86</v>
      </c>
      <c r="AB36" s="12">
        <v>6.5</v>
      </c>
      <c r="AC36" s="12">
        <v>20.8</v>
      </c>
      <c r="AD36" s="12">
        <v>20.7</v>
      </c>
      <c r="AE36">
        <v>36.9</v>
      </c>
      <c r="AF36">
        <v>1.31</v>
      </c>
      <c r="AG36">
        <v>0.39700000000000002</v>
      </c>
      <c r="AH36">
        <v>0.95199999999999996</v>
      </c>
      <c r="AI36" s="1">
        <v>9708</v>
      </c>
      <c r="AL36">
        <v>4.3</v>
      </c>
      <c r="AM36">
        <v>72.087999999999994</v>
      </c>
      <c r="AN36">
        <v>75.191999999999993</v>
      </c>
      <c r="AO36" s="2">
        <v>1187.25</v>
      </c>
    </row>
    <row r="37" spans="1:41" x14ac:dyDescent="0.2">
      <c r="A37">
        <v>2023</v>
      </c>
      <c r="B37">
        <v>100351</v>
      </c>
      <c r="C37">
        <v>21360</v>
      </c>
      <c r="D37" t="s">
        <v>232</v>
      </c>
      <c r="E37" t="s">
        <v>42</v>
      </c>
      <c r="F37">
        <v>324199</v>
      </c>
      <c r="G37" t="s">
        <v>43</v>
      </c>
      <c r="H37" t="s">
        <v>233</v>
      </c>
      <c r="I37" t="s">
        <v>203</v>
      </c>
      <c r="J37" t="s">
        <v>46</v>
      </c>
      <c r="K37">
        <v>94572</v>
      </c>
      <c r="L37">
        <v>38.015999999999998</v>
      </c>
      <c r="M37">
        <v>-122.23699999999999</v>
      </c>
      <c r="N37" t="s">
        <v>234</v>
      </c>
      <c r="O37" t="s">
        <v>173</v>
      </c>
      <c r="P37" t="s">
        <v>108</v>
      </c>
      <c r="Q37" t="s">
        <v>109</v>
      </c>
      <c r="R37" t="s">
        <v>51</v>
      </c>
      <c r="S37" s="1">
        <v>7160</v>
      </c>
      <c r="T37" s="1">
        <v>7160</v>
      </c>
      <c r="U37">
        <v>0</v>
      </c>
      <c r="V37" s="1">
        <v>7149</v>
      </c>
      <c r="W37">
        <v>0.16</v>
      </c>
      <c r="X37">
        <v>0.03</v>
      </c>
      <c r="Y37" s="12">
        <v>7160</v>
      </c>
      <c r="Z37" s="12">
        <v>0.2</v>
      </c>
      <c r="AA37" s="12">
        <v>0</v>
      </c>
      <c r="AB37" s="12">
        <v>0</v>
      </c>
      <c r="AC37" s="12">
        <v>6.1</v>
      </c>
      <c r="AD37" s="12">
        <v>6</v>
      </c>
      <c r="AE37">
        <v>1.7</v>
      </c>
      <c r="AG37">
        <v>0</v>
      </c>
      <c r="AH37">
        <v>0</v>
      </c>
      <c r="AI37">
        <v>0</v>
      </c>
      <c r="AL37">
        <v>0</v>
      </c>
      <c r="AM37">
        <v>1.0999999999999999E-2</v>
      </c>
      <c r="AN37">
        <v>1.0999999999999999E-2</v>
      </c>
      <c r="AO37">
        <v>0.42799999999999999</v>
      </c>
    </row>
    <row r="38" spans="1:41" x14ac:dyDescent="0.2">
      <c r="A38">
        <v>2023</v>
      </c>
      <c r="B38">
        <v>100372</v>
      </c>
      <c r="C38">
        <v>12626</v>
      </c>
      <c r="D38" t="s">
        <v>235</v>
      </c>
      <c r="E38" t="s">
        <v>111</v>
      </c>
      <c r="F38">
        <v>324110</v>
      </c>
      <c r="G38" t="s">
        <v>112</v>
      </c>
      <c r="H38" t="s">
        <v>236</v>
      </c>
      <c r="I38" t="s">
        <v>237</v>
      </c>
      <c r="J38" t="s">
        <v>46</v>
      </c>
      <c r="K38">
        <v>94510</v>
      </c>
      <c r="L38">
        <v>38.067</v>
      </c>
      <c r="M38">
        <v>-122.146</v>
      </c>
      <c r="N38" t="s">
        <v>238</v>
      </c>
      <c r="O38" t="s">
        <v>239</v>
      </c>
      <c r="P38" t="s">
        <v>108</v>
      </c>
      <c r="Q38" t="s">
        <v>109</v>
      </c>
      <c r="R38" t="s">
        <v>51</v>
      </c>
      <c r="S38" s="1">
        <v>2933332</v>
      </c>
      <c r="T38" s="1">
        <v>2933332</v>
      </c>
      <c r="U38">
        <v>0</v>
      </c>
      <c r="V38" s="1">
        <v>2874390</v>
      </c>
      <c r="W38" s="2">
        <v>2104.7199999999998</v>
      </c>
      <c r="X38">
        <v>21.22</v>
      </c>
      <c r="Y38" s="12">
        <v>2931997</v>
      </c>
      <c r="Z38" s="12">
        <v>159.5</v>
      </c>
      <c r="AA38" s="12">
        <v>952.3</v>
      </c>
      <c r="AB38" s="12">
        <v>55.9</v>
      </c>
      <c r="AC38" s="12">
        <v>121.6</v>
      </c>
      <c r="AD38" s="12">
        <v>118.6</v>
      </c>
      <c r="AE38" s="1">
        <v>2661</v>
      </c>
      <c r="AF38">
        <v>141</v>
      </c>
      <c r="AG38">
        <v>4.71</v>
      </c>
      <c r="AH38">
        <v>17.3</v>
      </c>
      <c r="AI38" s="1">
        <v>5849</v>
      </c>
      <c r="AJ38" s="1">
        <v>24681</v>
      </c>
      <c r="AK38" s="1">
        <v>2917</v>
      </c>
      <c r="AL38" s="1">
        <v>1124</v>
      </c>
      <c r="AM38" s="2">
        <v>1074.453</v>
      </c>
      <c r="AN38" s="2">
        <v>1913.921</v>
      </c>
      <c r="AO38" s="2">
        <v>11292.234</v>
      </c>
    </row>
    <row r="39" spans="1:41" x14ac:dyDescent="0.2">
      <c r="A39">
        <v>2023</v>
      </c>
      <c r="B39">
        <v>100389</v>
      </c>
      <c r="C39">
        <v>117290</v>
      </c>
      <c r="D39" t="s">
        <v>240</v>
      </c>
      <c r="E39" t="s">
        <v>42</v>
      </c>
      <c r="F39">
        <v>325412</v>
      </c>
      <c r="G39" t="s">
        <v>241</v>
      </c>
      <c r="H39" t="s">
        <v>242</v>
      </c>
      <c r="I39" t="s">
        <v>243</v>
      </c>
      <c r="J39" t="s">
        <v>46</v>
      </c>
      <c r="K39">
        <v>92614</v>
      </c>
      <c r="L39">
        <v>33.69</v>
      </c>
      <c r="M39">
        <v>-117.84</v>
      </c>
      <c r="N39" t="s">
        <v>244</v>
      </c>
      <c r="O39" t="s">
        <v>167</v>
      </c>
      <c r="P39" t="s">
        <v>49</v>
      </c>
      <c r="Q39" t="s">
        <v>50</v>
      </c>
      <c r="R39" t="s">
        <v>51</v>
      </c>
      <c r="S39" s="1">
        <v>46040</v>
      </c>
      <c r="T39" s="1">
        <v>46040</v>
      </c>
      <c r="U39">
        <v>0</v>
      </c>
      <c r="V39" s="1">
        <v>45993</v>
      </c>
      <c r="W39">
        <v>0.87</v>
      </c>
      <c r="X39">
        <v>0.09</v>
      </c>
      <c r="Y39" s="12">
        <v>46040</v>
      </c>
      <c r="Z39" s="12">
        <v>18.600000000000001</v>
      </c>
      <c r="AA39" s="12">
        <v>8.6999999999999993</v>
      </c>
      <c r="AB39" s="12">
        <v>0.4</v>
      </c>
      <c r="AC39" s="12">
        <v>3.3</v>
      </c>
      <c r="AD39" s="12">
        <v>3.3</v>
      </c>
      <c r="AE39">
        <v>8.73</v>
      </c>
      <c r="AF39">
        <v>0.93400000000000005</v>
      </c>
      <c r="AG39">
        <v>0</v>
      </c>
      <c r="AH39">
        <v>113</v>
      </c>
      <c r="AI39">
        <v>347</v>
      </c>
      <c r="AJ39">
        <v>0.626</v>
      </c>
      <c r="AL39">
        <v>1.2999999999999999E-2</v>
      </c>
      <c r="AM39">
        <v>1.8839999999999999</v>
      </c>
      <c r="AN39">
        <v>2.0459999999999998</v>
      </c>
      <c r="AO39">
        <v>286.30200000000002</v>
      </c>
    </row>
    <row r="40" spans="1:41" x14ac:dyDescent="0.2">
      <c r="A40">
        <v>2023</v>
      </c>
      <c r="B40">
        <v>100886</v>
      </c>
      <c r="C40">
        <v>511</v>
      </c>
      <c r="D40" t="s">
        <v>245</v>
      </c>
      <c r="E40" t="s">
        <v>67</v>
      </c>
      <c r="F40">
        <v>221112</v>
      </c>
      <c r="G40" t="s">
        <v>96</v>
      </c>
      <c r="H40" t="s">
        <v>246</v>
      </c>
      <c r="I40" t="s">
        <v>247</v>
      </c>
      <c r="J40" t="s">
        <v>46</v>
      </c>
      <c r="K40">
        <v>93308</v>
      </c>
      <c r="L40">
        <v>35.454999999999998</v>
      </c>
      <c r="M40">
        <v>-119.002</v>
      </c>
      <c r="N40" t="s">
        <v>248</v>
      </c>
      <c r="O40" t="s">
        <v>193</v>
      </c>
      <c r="P40" t="s">
        <v>194</v>
      </c>
      <c r="Q40" t="s">
        <v>195</v>
      </c>
      <c r="R40" t="s">
        <v>51</v>
      </c>
      <c r="S40" s="1">
        <v>374323</v>
      </c>
      <c r="T40" s="1">
        <v>374323</v>
      </c>
      <c r="U40">
        <v>0</v>
      </c>
      <c r="V40" s="1">
        <v>373938</v>
      </c>
      <c r="W40">
        <v>7.02</v>
      </c>
      <c r="X40">
        <v>0.7</v>
      </c>
      <c r="Y40" s="12">
        <v>374323</v>
      </c>
      <c r="Z40" s="12">
        <v>0</v>
      </c>
      <c r="AA40" s="12">
        <v>39.6</v>
      </c>
      <c r="AB40" s="12">
        <v>0.4</v>
      </c>
      <c r="AC40" s="12">
        <v>11</v>
      </c>
      <c r="AD40" s="12">
        <v>11</v>
      </c>
      <c r="AE40">
        <v>73.3</v>
      </c>
      <c r="AF40">
        <v>2.63</v>
      </c>
      <c r="AI40" s="1">
        <v>4338</v>
      </c>
      <c r="AM40">
        <v>16.774999999999999</v>
      </c>
      <c r="AN40">
        <v>10.791</v>
      </c>
      <c r="AO40">
        <v>235.81</v>
      </c>
    </row>
    <row r="41" spans="1:41" x14ac:dyDescent="0.2">
      <c r="A41">
        <v>2023</v>
      </c>
      <c r="B41">
        <v>100888</v>
      </c>
      <c r="C41">
        <v>71</v>
      </c>
      <c r="D41" t="s">
        <v>249</v>
      </c>
      <c r="E41" t="s">
        <v>250</v>
      </c>
      <c r="F41">
        <v>211112</v>
      </c>
      <c r="G41" t="s">
        <v>251</v>
      </c>
      <c r="H41" t="s">
        <v>252</v>
      </c>
      <c r="I41" t="s">
        <v>253</v>
      </c>
      <c r="J41" t="s">
        <v>46</v>
      </c>
      <c r="K41">
        <v>93263</v>
      </c>
      <c r="L41">
        <v>35.445999999999998</v>
      </c>
      <c r="M41">
        <v>-119.25700000000001</v>
      </c>
      <c r="N41" t="s">
        <v>254</v>
      </c>
      <c r="O41" t="s">
        <v>193</v>
      </c>
      <c r="P41" t="s">
        <v>194</v>
      </c>
      <c r="Q41" t="s">
        <v>195</v>
      </c>
      <c r="R41" t="s">
        <v>51</v>
      </c>
      <c r="S41">
        <v>1</v>
      </c>
      <c r="T41">
        <v>1</v>
      </c>
      <c r="U41">
        <v>0</v>
      </c>
      <c r="V41">
        <v>0</v>
      </c>
      <c r="W41">
        <v>0.04</v>
      </c>
      <c r="X41">
        <v>0</v>
      </c>
      <c r="Y41" s="12">
        <v>0</v>
      </c>
      <c r="Z41" s="12">
        <v>5.4</v>
      </c>
      <c r="AA41" s="12">
        <v>0</v>
      </c>
      <c r="AB41" s="12">
        <v>0</v>
      </c>
      <c r="AC41" s="12">
        <v>0</v>
      </c>
      <c r="AD41" s="12">
        <v>0</v>
      </c>
      <c r="AE41">
        <v>30.5</v>
      </c>
      <c r="AH41">
        <v>7.83</v>
      </c>
      <c r="AI41">
        <v>0</v>
      </c>
      <c r="AK41">
        <v>124</v>
      </c>
      <c r="AM41">
        <v>0.7</v>
      </c>
      <c r="AN41">
        <v>0.41599999999999998</v>
      </c>
      <c r="AO41">
        <v>24.925000000000001</v>
      </c>
    </row>
    <row r="42" spans="1:41" x14ac:dyDescent="0.2">
      <c r="A42">
        <v>2023</v>
      </c>
      <c r="B42">
        <v>100895</v>
      </c>
      <c r="D42" t="s">
        <v>255</v>
      </c>
      <c r="E42" t="s">
        <v>250</v>
      </c>
      <c r="F42">
        <v>211111</v>
      </c>
      <c r="G42" t="s">
        <v>256</v>
      </c>
      <c r="H42" t="s">
        <v>257</v>
      </c>
      <c r="I42" t="s">
        <v>258</v>
      </c>
      <c r="J42" t="s">
        <v>46</v>
      </c>
      <c r="K42">
        <v>91321</v>
      </c>
      <c r="L42">
        <v>34.384999999999998</v>
      </c>
      <c r="M42">
        <v>-118.495</v>
      </c>
      <c r="N42" t="s">
        <v>259</v>
      </c>
      <c r="O42" t="s">
        <v>48</v>
      </c>
      <c r="P42" t="s">
        <v>49</v>
      </c>
      <c r="Q42" t="s">
        <v>50</v>
      </c>
      <c r="R42" t="s">
        <v>51</v>
      </c>
      <c r="S42" s="1">
        <v>35248</v>
      </c>
      <c r="T42" s="1">
        <v>35248</v>
      </c>
      <c r="U42">
        <v>0</v>
      </c>
      <c r="V42" s="1">
        <v>35191</v>
      </c>
      <c r="W42">
        <v>1.47</v>
      </c>
      <c r="X42">
        <v>7.0000000000000007E-2</v>
      </c>
      <c r="Y42" s="12">
        <v>35224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</row>
    <row r="43" spans="1:41" x14ac:dyDescent="0.2">
      <c r="A43">
        <v>2023</v>
      </c>
      <c r="B43">
        <v>100904</v>
      </c>
      <c r="D43" t="s">
        <v>260</v>
      </c>
      <c r="E43" t="s">
        <v>250</v>
      </c>
      <c r="F43">
        <v>211111</v>
      </c>
      <c r="G43" t="s">
        <v>256</v>
      </c>
      <c r="H43" t="s">
        <v>261</v>
      </c>
      <c r="I43" t="s">
        <v>262</v>
      </c>
      <c r="J43" t="s">
        <v>46</v>
      </c>
      <c r="K43">
        <v>92821</v>
      </c>
      <c r="L43">
        <v>33.938000000000002</v>
      </c>
      <c r="M43">
        <v>-117.86</v>
      </c>
      <c r="N43" t="s">
        <v>263</v>
      </c>
      <c r="O43" t="s">
        <v>167</v>
      </c>
      <c r="P43" t="s">
        <v>49</v>
      </c>
      <c r="Q43" t="s">
        <v>50</v>
      </c>
      <c r="R43" t="s">
        <v>51</v>
      </c>
      <c r="S43" s="1">
        <v>43860</v>
      </c>
      <c r="T43" s="1">
        <v>43860</v>
      </c>
      <c r="U43">
        <v>0</v>
      </c>
      <c r="V43" s="1">
        <v>43735</v>
      </c>
      <c r="W43">
        <v>4.13</v>
      </c>
      <c r="X43">
        <v>0.08</v>
      </c>
      <c r="Y43" s="12">
        <v>43820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</row>
    <row r="44" spans="1:41" x14ac:dyDescent="0.2">
      <c r="A44">
        <v>2023</v>
      </c>
      <c r="B44">
        <v>100913</v>
      </c>
      <c r="C44">
        <v>171109</v>
      </c>
      <c r="D44" t="s">
        <v>264</v>
      </c>
      <c r="E44" t="s">
        <v>111</v>
      </c>
      <c r="F44">
        <v>324110</v>
      </c>
      <c r="G44" t="s">
        <v>112</v>
      </c>
      <c r="H44" t="s">
        <v>265</v>
      </c>
      <c r="I44" t="s">
        <v>176</v>
      </c>
      <c r="J44" t="s">
        <v>46</v>
      </c>
      <c r="K44">
        <v>90745</v>
      </c>
      <c r="L44">
        <v>33.808999999999997</v>
      </c>
      <c r="M44">
        <v>-118.24299999999999</v>
      </c>
      <c r="N44" t="s">
        <v>266</v>
      </c>
      <c r="O44" t="s">
        <v>48</v>
      </c>
      <c r="P44" t="s">
        <v>49</v>
      </c>
      <c r="Q44" t="s">
        <v>50</v>
      </c>
      <c r="R44" t="s">
        <v>51</v>
      </c>
      <c r="S44" s="1">
        <v>954863</v>
      </c>
      <c r="T44" s="1">
        <v>954863</v>
      </c>
      <c r="U44">
        <v>0</v>
      </c>
      <c r="V44" s="1">
        <v>950450</v>
      </c>
      <c r="W44">
        <v>69.56</v>
      </c>
      <c r="X44">
        <v>8.98</v>
      </c>
      <c r="Y44" s="12">
        <v>954261</v>
      </c>
      <c r="Z44" s="12">
        <v>73.5</v>
      </c>
      <c r="AA44" s="12">
        <v>249.4</v>
      </c>
      <c r="AB44" s="12">
        <v>183</v>
      </c>
      <c r="AC44" s="12">
        <v>46</v>
      </c>
      <c r="AD44" s="12">
        <v>39.799999999999997</v>
      </c>
      <c r="AE44">
        <v>794</v>
      </c>
      <c r="AF44">
        <v>79.7</v>
      </c>
      <c r="AG44">
        <v>5.2999999999999999E-2</v>
      </c>
      <c r="AH44">
        <v>311</v>
      </c>
      <c r="AI44">
        <v>628</v>
      </c>
      <c r="AJ44">
        <v>30.8</v>
      </c>
      <c r="AK44" s="1">
        <v>5102</v>
      </c>
      <c r="AL44">
        <v>42.9</v>
      </c>
      <c r="AM44">
        <v>218.62200000000001</v>
      </c>
      <c r="AN44">
        <v>505.50099999999998</v>
      </c>
      <c r="AO44" s="2">
        <v>2624.58</v>
      </c>
    </row>
    <row r="45" spans="1:41" x14ac:dyDescent="0.2">
      <c r="A45">
        <v>2023</v>
      </c>
      <c r="B45">
        <v>100914</v>
      </c>
      <c r="D45" t="s">
        <v>267</v>
      </c>
      <c r="E45" t="s">
        <v>111</v>
      </c>
      <c r="F45">
        <v>324110</v>
      </c>
      <c r="G45" t="s">
        <v>112</v>
      </c>
      <c r="H45" t="s">
        <v>268</v>
      </c>
      <c r="I45" t="s">
        <v>171</v>
      </c>
      <c r="J45" t="s">
        <v>46</v>
      </c>
      <c r="K45">
        <v>94553</v>
      </c>
      <c r="L45">
        <v>38.012</v>
      </c>
      <c r="M45">
        <v>-122.105</v>
      </c>
      <c r="N45" t="s">
        <v>172</v>
      </c>
      <c r="O45" t="s">
        <v>173</v>
      </c>
      <c r="P45" t="s">
        <v>108</v>
      </c>
      <c r="Q45" t="s">
        <v>109</v>
      </c>
      <c r="R45" t="s">
        <v>51</v>
      </c>
      <c r="S45" s="1">
        <v>3625074</v>
      </c>
      <c r="T45" s="1">
        <v>3625074</v>
      </c>
      <c r="U45">
        <v>0</v>
      </c>
      <c r="V45" s="1">
        <v>3550269</v>
      </c>
      <c r="W45" s="2">
        <v>2751.83</v>
      </c>
      <c r="X45">
        <v>20.16</v>
      </c>
      <c r="Y45" s="12">
        <v>3623990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</row>
    <row r="46" spans="1:41" x14ac:dyDescent="0.2">
      <c r="A46">
        <v>2023</v>
      </c>
      <c r="B46">
        <v>100915</v>
      </c>
      <c r="C46">
        <v>5973</v>
      </c>
      <c r="D46" t="s">
        <v>269</v>
      </c>
      <c r="E46" t="s">
        <v>250</v>
      </c>
      <c r="F46">
        <v>486210</v>
      </c>
      <c r="G46" t="s">
        <v>270</v>
      </c>
      <c r="H46" t="s">
        <v>271</v>
      </c>
      <c r="I46" t="s">
        <v>272</v>
      </c>
      <c r="J46" t="s">
        <v>46</v>
      </c>
      <c r="K46">
        <v>91355</v>
      </c>
      <c r="L46">
        <v>34.438000000000002</v>
      </c>
      <c r="M46">
        <v>-118.577</v>
      </c>
      <c r="N46" t="s">
        <v>273</v>
      </c>
      <c r="O46" t="s">
        <v>48</v>
      </c>
      <c r="P46" t="s">
        <v>49</v>
      </c>
      <c r="Q46" t="s">
        <v>50</v>
      </c>
      <c r="R46" t="s">
        <v>51</v>
      </c>
      <c r="S46" s="1">
        <v>27317</v>
      </c>
      <c r="T46" s="1">
        <v>27317</v>
      </c>
      <c r="U46">
        <v>0</v>
      </c>
      <c r="V46" s="1">
        <v>23441</v>
      </c>
      <c r="W46">
        <v>154.51</v>
      </c>
      <c r="X46">
        <v>0.04</v>
      </c>
      <c r="Y46" s="12">
        <v>25048</v>
      </c>
      <c r="Z46" s="12">
        <v>33.5</v>
      </c>
      <c r="AA46" s="12">
        <v>74.099999999999994</v>
      </c>
      <c r="AB46" s="12">
        <v>0.2</v>
      </c>
      <c r="AC46" s="12">
        <v>2.8</v>
      </c>
      <c r="AD46" s="12">
        <v>2.8</v>
      </c>
      <c r="AE46">
        <v>322</v>
      </c>
      <c r="AF46">
        <v>180</v>
      </c>
      <c r="AG46">
        <v>1.2E-2</v>
      </c>
      <c r="AH46">
        <v>232</v>
      </c>
      <c r="AI46" s="1">
        <v>7208</v>
      </c>
      <c r="AJ46">
        <v>23</v>
      </c>
      <c r="AL46">
        <v>0.48199999999999998</v>
      </c>
      <c r="AM46">
        <v>214.91</v>
      </c>
      <c r="AN46">
        <v>155.44300000000001</v>
      </c>
      <c r="AO46" s="2">
        <v>1359.58</v>
      </c>
    </row>
    <row r="47" spans="1:41" x14ac:dyDescent="0.2">
      <c r="A47">
        <v>2023</v>
      </c>
      <c r="B47">
        <v>100917</v>
      </c>
      <c r="C47">
        <v>261</v>
      </c>
      <c r="D47" t="s">
        <v>274</v>
      </c>
      <c r="E47" t="s">
        <v>42</v>
      </c>
      <c r="F47">
        <v>327993</v>
      </c>
      <c r="G47" t="s">
        <v>275</v>
      </c>
      <c r="H47" t="s">
        <v>276</v>
      </c>
      <c r="I47" t="s">
        <v>277</v>
      </c>
      <c r="J47" t="s">
        <v>46</v>
      </c>
      <c r="K47">
        <v>93610</v>
      </c>
      <c r="L47">
        <v>37.093000000000004</v>
      </c>
      <c r="M47">
        <v>-120.224</v>
      </c>
      <c r="N47" t="s">
        <v>278</v>
      </c>
      <c r="O47" t="s">
        <v>279</v>
      </c>
      <c r="P47" t="s">
        <v>194</v>
      </c>
      <c r="Q47" t="s">
        <v>195</v>
      </c>
      <c r="R47" t="s">
        <v>51</v>
      </c>
      <c r="S47" s="1">
        <v>54153</v>
      </c>
      <c r="T47" s="1">
        <v>54153</v>
      </c>
      <c r="U47">
        <v>0</v>
      </c>
      <c r="V47" s="1">
        <v>54102</v>
      </c>
      <c r="W47">
        <v>0.93</v>
      </c>
      <c r="X47">
        <v>0.09</v>
      </c>
      <c r="Y47" s="12">
        <v>54153</v>
      </c>
      <c r="Z47" s="12">
        <v>64.2</v>
      </c>
      <c r="AA47" s="12">
        <v>75.8</v>
      </c>
      <c r="AB47" s="12">
        <v>14.2</v>
      </c>
      <c r="AC47" s="12">
        <v>61</v>
      </c>
      <c r="AD47" s="12">
        <v>60.5</v>
      </c>
      <c r="AE47">
        <v>5.67</v>
      </c>
      <c r="AH47">
        <v>53.5</v>
      </c>
      <c r="AI47">
        <v>11.3</v>
      </c>
      <c r="AL47">
        <v>11.2</v>
      </c>
      <c r="AM47">
        <v>12.632</v>
      </c>
      <c r="AN47">
        <v>302.173</v>
      </c>
      <c r="AO47">
        <v>817.5</v>
      </c>
    </row>
    <row r="48" spans="1:41" x14ac:dyDescent="0.2">
      <c r="A48">
        <v>2023</v>
      </c>
      <c r="B48">
        <v>100936</v>
      </c>
      <c r="C48">
        <v>5014</v>
      </c>
      <c r="D48" t="s">
        <v>280</v>
      </c>
      <c r="E48" t="s">
        <v>42</v>
      </c>
      <c r="F48">
        <v>311421</v>
      </c>
      <c r="G48" t="s">
        <v>281</v>
      </c>
      <c r="H48" t="s">
        <v>282</v>
      </c>
      <c r="I48" t="s">
        <v>283</v>
      </c>
      <c r="J48" t="s">
        <v>46</v>
      </c>
      <c r="K48">
        <v>95620</v>
      </c>
      <c r="L48">
        <v>38.475000000000001</v>
      </c>
      <c r="M48">
        <v>-121.803</v>
      </c>
      <c r="N48" t="s">
        <v>284</v>
      </c>
      <c r="O48" t="s">
        <v>239</v>
      </c>
      <c r="P48" t="s">
        <v>210</v>
      </c>
      <c r="Q48" t="s">
        <v>74</v>
      </c>
      <c r="R48" t="s">
        <v>51</v>
      </c>
      <c r="S48" s="1">
        <v>38209</v>
      </c>
      <c r="T48" s="1">
        <v>38209</v>
      </c>
      <c r="U48">
        <v>0</v>
      </c>
      <c r="V48" s="1">
        <v>38170</v>
      </c>
      <c r="W48">
        <v>0.72</v>
      </c>
      <c r="X48">
        <v>7.0000000000000007E-2</v>
      </c>
      <c r="Y48" s="12">
        <v>38209</v>
      </c>
      <c r="Z48" s="12">
        <v>3.5</v>
      </c>
      <c r="AA48" s="12">
        <v>10.7</v>
      </c>
      <c r="AB48" s="12">
        <v>0.2</v>
      </c>
      <c r="AC48" s="12">
        <v>3.5</v>
      </c>
      <c r="AD48" s="12">
        <v>3.1</v>
      </c>
      <c r="AE48">
        <v>1.42</v>
      </c>
      <c r="AF48">
        <v>0</v>
      </c>
      <c r="AI48">
        <v>50.4</v>
      </c>
      <c r="AL48">
        <v>1.42</v>
      </c>
      <c r="AM48">
        <v>1.5629999999999999</v>
      </c>
      <c r="AN48">
        <v>2.7909999999999999</v>
      </c>
      <c r="AO48">
        <v>33.304000000000002</v>
      </c>
    </row>
    <row r="49" spans="1:41" x14ac:dyDescent="0.2">
      <c r="A49">
        <v>2023</v>
      </c>
      <c r="B49">
        <v>100943</v>
      </c>
      <c r="C49">
        <v>606</v>
      </c>
      <c r="D49" t="s">
        <v>285</v>
      </c>
      <c r="E49" t="s">
        <v>42</v>
      </c>
      <c r="F49">
        <v>312120</v>
      </c>
      <c r="G49" t="s">
        <v>286</v>
      </c>
      <c r="H49" t="s">
        <v>287</v>
      </c>
      <c r="I49" t="s">
        <v>288</v>
      </c>
      <c r="J49" t="s">
        <v>46</v>
      </c>
      <c r="K49">
        <v>94534</v>
      </c>
      <c r="L49">
        <v>38.238</v>
      </c>
      <c r="M49">
        <v>-122.095</v>
      </c>
      <c r="N49" t="s">
        <v>289</v>
      </c>
      <c r="O49" t="s">
        <v>239</v>
      </c>
      <c r="P49" t="s">
        <v>108</v>
      </c>
      <c r="Q49" t="s">
        <v>109</v>
      </c>
      <c r="R49" t="s">
        <v>75</v>
      </c>
      <c r="S49" s="1">
        <v>13402</v>
      </c>
      <c r="T49" s="1">
        <v>10246</v>
      </c>
      <c r="U49" s="1">
        <v>3156</v>
      </c>
      <c r="V49" s="1">
        <v>13376</v>
      </c>
      <c r="W49">
        <v>0.39</v>
      </c>
      <c r="X49">
        <v>0.05</v>
      </c>
      <c r="Y49" s="12">
        <v>0</v>
      </c>
      <c r="Z49" s="12">
        <v>17</v>
      </c>
      <c r="AA49" s="12">
        <v>8.8000000000000007</v>
      </c>
      <c r="AB49" s="12">
        <v>1.8</v>
      </c>
      <c r="AC49" s="12">
        <v>1.2</v>
      </c>
      <c r="AD49" s="12">
        <v>1</v>
      </c>
      <c r="AE49">
        <v>0.379</v>
      </c>
      <c r="AG49">
        <v>0</v>
      </c>
      <c r="AH49">
        <v>1.47</v>
      </c>
      <c r="AI49">
        <v>16.8</v>
      </c>
      <c r="AK49">
        <v>4.34</v>
      </c>
      <c r="AL49">
        <v>0.38100000000000001</v>
      </c>
      <c r="AM49">
        <v>0.48</v>
      </c>
      <c r="AN49">
        <v>2.2330000000000001</v>
      </c>
      <c r="AO49">
        <v>12.523</v>
      </c>
    </row>
    <row r="50" spans="1:41" x14ac:dyDescent="0.2">
      <c r="A50">
        <v>2023</v>
      </c>
      <c r="B50">
        <v>100952</v>
      </c>
      <c r="C50">
        <v>43436</v>
      </c>
      <c r="D50" t="s">
        <v>290</v>
      </c>
      <c r="E50" t="s">
        <v>42</v>
      </c>
      <c r="F50">
        <v>331314</v>
      </c>
      <c r="G50" t="s">
        <v>291</v>
      </c>
      <c r="H50" t="s">
        <v>292</v>
      </c>
      <c r="I50" t="s">
        <v>293</v>
      </c>
      <c r="J50" t="s">
        <v>46</v>
      </c>
      <c r="K50">
        <v>92337</v>
      </c>
      <c r="L50">
        <v>34.043999999999997</v>
      </c>
      <c r="M50">
        <v>-117.52200000000001</v>
      </c>
      <c r="N50" t="s">
        <v>294</v>
      </c>
      <c r="O50" t="s">
        <v>57</v>
      </c>
      <c r="P50" t="s">
        <v>49</v>
      </c>
      <c r="Q50" t="s">
        <v>50</v>
      </c>
      <c r="R50" t="s">
        <v>75</v>
      </c>
      <c r="S50" s="1">
        <v>16700</v>
      </c>
      <c r="T50" s="1">
        <v>16700</v>
      </c>
      <c r="U50">
        <v>0</v>
      </c>
      <c r="V50" s="1">
        <v>16683</v>
      </c>
      <c r="W50">
        <v>0.31</v>
      </c>
      <c r="X50">
        <v>0.03</v>
      </c>
      <c r="Y50" s="12">
        <v>0</v>
      </c>
      <c r="Z50" s="12">
        <v>3.6</v>
      </c>
      <c r="AA50" s="12">
        <v>12.8</v>
      </c>
      <c r="AB50" s="12">
        <v>0.1</v>
      </c>
      <c r="AC50" s="12">
        <v>2.5</v>
      </c>
      <c r="AD50" s="12">
        <v>2.4</v>
      </c>
      <c r="AE50">
        <v>13.5</v>
      </c>
      <c r="AF50">
        <v>2.86</v>
      </c>
      <c r="AG50">
        <v>0.01</v>
      </c>
      <c r="AH50">
        <v>6.8</v>
      </c>
      <c r="AI50">
        <v>14.8</v>
      </c>
      <c r="AJ50">
        <v>3.7999999999999999E-2</v>
      </c>
      <c r="AK50">
        <v>423</v>
      </c>
      <c r="AL50">
        <v>4.2000000000000003E-2</v>
      </c>
      <c r="AM50">
        <v>2.0699999999999998</v>
      </c>
      <c r="AN50">
        <v>1.2989999999999999</v>
      </c>
      <c r="AO50">
        <v>40.68</v>
      </c>
    </row>
    <row r="51" spans="1:41" x14ac:dyDescent="0.2">
      <c r="A51">
        <v>2023</v>
      </c>
      <c r="B51">
        <v>100953</v>
      </c>
      <c r="C51">
        <v>14495</v>
      </c>
      <c r="D51" t="s">
        <v>295</v>
      </c>
      <c r="E51" t="s">
        <v>42</v>
      </c>
      <c r="F51">
        <v>331314</v>
      </c>
      <c r="G51" t="s">
        <v>291</v>
      </c>
      <c r="H51" t="s">
        <v>296</v>
      </c>
      <c r="I51" t="s">
        <v>293</v>
      </c>
      <c r="J51" t="s">
        <v>46</v>
      </c>
      <c r="K51">
        <v>92335</v>
      </c>
      <c r="L51">
        <v>34.094000000000001</v>
      </c>
      <c r="M51">
        <v>-117.512</v>
      </c>
      <c r="N51" t="s">
        <v>294</v>
      </c>
      <c r="O51" t="s">
        <v>57</v>
      </c>
      <c r="P51" t="s">
        <v>49</v>
      </c>
      <c r="Q51" t="s">
        <v>50</v>
      </c>
      <c r="R51" t="s">
        <v>51</v>
      </c>
      <c r="S51" s="1">
        <v>32210</v>
      </c>
      <c r="T51" s="1">
        <v>32210</v>
      </c>
      <c r="U51">
        <v>0</v>
      </c>
      <c r="V51" s="1">
        <v>32177</v>
      </c>
      <c r="W51">
        <v>0.61</v>
      </c>
      <c r="X51">
        <v>0.06</v>
      </c>
      <c r="Y51" s="12">
        <v>32210</v>
      </c>
      <c r="Z51" s="12">
        <v>5.4</v>
      </c>
      <c r="AA51" s="12">
        <v>17.8</v>
      </c>
      <c r="AB51" s="12">
        <v>0.2</v>
      </c>
      <c r="AC51" s="12">
        <v>4.2</v>
      </c>
      <c r="AD51" s="12">
        <v>4.0999999999999996</v>
      </c>
      <c r="AE51">
        <v>39.1</v>
      </c>
      <c r="AF51">
        <v>1.99</v>
      </c>
      <c r="AG51">
        <v>2.7E-2</v>
      </c>
      <c r="AI51">
        <v>14.9</v>
      </c>
      <c r="AL51">
        <v>4.96</v>
      </c>
      <c r="AM51">
        <v>5.03</v>
      </c>
      <c r="AN51">
        <v>9.8670000000000009</v>
      </c>
      <c r="AO51">
        <v>91.710999999999999</v>
      </c>
    </row>
    <row r="52" spans="1:41" x14ac:dyDescent="0.2">
      <c r="A52">
        <v>2023</v>
      </c>
      <c r="B52">
        <v>100954</v>
      </c>
      <c r="C52">
        <v>46268</v>
      </c>
      <c r="D52" t="s">
        <v>297</v>
      </c>
      <c r="E52" t="s">
        <v>42</v>
      </c>
      <c r="F52">
        <v>331221</v>
      </c>
      <c r="G52" t="s">
        <v>298</v>
      </c>
      <c r="H52" t="s">
        <v>299</v>
      </c>
      <c r="I52" t="s">
        <v>293</v>
      </c>
      <c r="J52" t="s">
        <v>46</v>
      </c>
      <c r="K52">
        <v>92335</v>
      </c>
      <c r="L52">
        <v>34.078000000000003</v>
      </c>
      <c r="M52">
        <v>-117.494</v>
      </c>
      <c r="N52" t="s">
        <v>294</v>
      </c>
      <c r="O52" t="s">
        <v>57</v>
      </c>
      <c r="P52" t="s">
        <v>49</v>
      </c>
      <c r="Q52" t="s">
        <v>50</v>
      </c>
      <c r="R52" t="s">
        <v>51</v>
      </c>
      <c r="S52" s="1">
        <v>163979</v>
      </c>
      <c r="T52" s="1">
        <v>163979</v>
      </c>
      <c r="U52">
        <v>0</v>
      </c>
      <c r="V52" s="1">
        <v>163809</v>
      </c>
      <c r="W52">
        <v>3.09</v>
      </c>
      <c r="X52">
        <v>0.31</v>
      </c>
      <c r="Y52" s="12">
        <v>163979</v>
      </c>
      <c r="Z52" s="12">
        <v>17.5</v>
      </c>
      <c r="AA52" s="12">
        <v>135.5</v>
      </c>
      <c r="AB52" s="12">
        <v>0.9</v>
      </c>
      <c r="AC52" s="12">
        <v>12.7</v>
      </c>
      <c r="AD52" s="12">
        <v>12.3</v>
      </c>
      <c r="AE52">
        <v>17.600000000000001</v>
      </c>
      <c r="AF52">
        <v>5.44</v>
      </c>
      <c r="AG52">
        <v>0.41299999999999998</v>
      </c>
      <c r="AH52">
        <v>635</v>
      </c>
      <c r="AI52">
        <v>66.900000000000006</v>
      </c>
      <c r="AJ52">
        <v>107</v>
      </c>
      <c r="AL52">
        <v>0.11799999999999999</v>
      </c>
      <c r="AM52">
        <v>1.827</v>
      </c>
      <c r="AN52">
        <v>5.6340000000000003</v>
      </c>
      <c r="AO52" s="2">
        <v>1970.47</v>
      </c>
    </row>
    <row r="53" spans="1:41" x14ac:dyDescent="0.2">
      <c r="A53">
        <v>2023</v>
      </c>
      <c r="B53">
        <v>100958</v>
      </c>
      <c r="C53">
        <v>447</v>
      </c>
      <c r="D53" t="s">
        <v>300</v>
      </c>
      <c r="E53" t="s">
        <v>42</v>
      </c>
      <c r="F53">
        <v>312130</v>
      </c>
      <c r="G53" t="s">
        <v>301</v>
      </c>
      <c r="H53" t="s">
        <v>302</v>
      </c>
      <c r="I53" t="s">
        <v>303</v>
      </c>
      <c r="J53" t="s">
        <v>46</v>
      </c>
      <c r="K53">
        <v>93727</v>
      </c>
      <c r="L53">
        <v>36.753999999999998</v>
      </c>
      <c r="M53">
        <v>-119.702</v>
      </c>
      <c r="N53" t="s">
        <v>304</v>
      </c>
      <c r="O53" t="s">
        <v>303</v>
      </c>
      <c r="P53" t="s">
        <v>194</v>
      </c>
      <c r="Q53" t="s">
        <v>195</v>
      </c>
      <c r="R53" t="s">
        <v>51</v>
      </c>
      <c r="S53" s="1">
        <v>27180</v>
      </c>
      <c r="T53" s="1">
        <v>26061</v>
      </c>
      <c r="U53" s="1">
        <v>1119</v>
      </c>
      <c r="V53" s="1">
        <v>27147</v>
      </c>
      <c r="W53">
        <v>0.56000000000000005</v>
      </c>
      <c r="X53">
        <v>0.06</v>
      </c>
      <c r="Y53" s="12">
        <v>26061</v>
      </c>
      <c r="Z53" s="12">
        <v>146.69999999999999</v>
      </c>
      <c r="AA53" s="12">
        <v>1.8</v>
      </c>
      <c r="AB53" s="12">
        <v>0.6</v>
      </c>
      <c r="AC53" s="12">
        <v>0.7</v>
      </c>
      <c r="AD53" s="12">
        <v>0.6</v>
      </c>
      <c r="AE53">
        <v>2.84</v>
      </c>
      <c r="AF53">
        <v>0</v>
      </c>
      <c r="AG53">
        <v>0</v>
      </c>
      <c r="AH53">
        <v>19.8</v>
      </c>
      <c r="AI53">
        <v>80.2</v>
      </c>
      <c r="AK53">
        <v>159</v>
      </c>
      <c r="AL53">
        <v>1.2999999999999999E-2</v>
      </c>
      <c r="AM53">
        <v>4.0049999999999999</v>
      </c>
      <c r="AN53">
        <v>3.157</v>
      </c>
      <c r="AO53">
        <v>163.89699999999999</v>
      </c>
    </row>
    <row r="54" spans="1:41" x14ac:dyDescent="0.2">
      <c r="A54">
        <v>2023</v>
      </c>
      <c r="B54">
        <v>100959</v>
      </c>
      <c r="C54">
        <v>402</v>
      </c>
      <c r="D54" t="s">
        <v>305</v>
      </c>
      <c r="E54" t="s">
        <v>42</v>
      </c>
      <c r="F54">
        <v>311514</v>
      </c>
      <c r="G54" t="s">
        <v>306</v>
      </c>
      <c r="H54" t="s">
        <v>307</v>
      </c>
      <c r="I54" t="s">
        <v>303</v>
      </c>
      <c r="J54" t="s">
        <v>46</v>
      </c>
      <c r="K54">
        <v>93706</v>
      </c>
      <c r="L54">
        <v>36.728000000000002</v>
      </c>
      <c r="M54">
        <v>-119.792</v>
      </c>
      <c r="N54" t="s">
        <v>308</v>
      </c>
      <c r="O54" t="s">
        <v>303</v>
      </c>
      <c r="P54" t="s">
        <v>194</v>
      </c>
      <c r="Q54" t="s">
        <v>195</v>
      </c>
      <c r="R54" t="s">
        <v>51</v>
      </c>
      <c r="S54" s="1">
        <v>32627</v>
      </c>
      <c r="T54" s="1">
        <v>32627</v>
      </c>
      <c r="U54">
        <v>0</v>
      </c>
      <c r="V54" s="1">
        <v>32594</v>
      </c>
      <c r="W54">
        <v>0.61</v>
      </c>
      <c r="X54">
        <v>0.06</v>
      </c>
      <c r="Y54" s="12">
        <v>32627</v>
      </c>
      <c r="Z54" s="12">
        <v>6.9</v>
      </c>
      <c r="AA54" s="12">
        <v>5.2</v>
      </c>
      <c r="AB54" s="12">
        <v>0.6</v>
      </c>
      <c r="AC54" s="12">
        <v>5.6</v>
      </c>
      <c r="AD54" s="12">
        <v>2.8</v>
      </c>
      <c r="AE54">
        <v>3.35</v>
      </c>
      <c r="AI54">
        <v>7.11</v>
      </c>
      <c r="AM54">
        <v>0.152</v>
      </c>
      <c r="AN54">
        <v>0.112</v>
      </c>
      <c r="AO54">
        <v>1.728</v>
      </c>
    </row>
    <row r="55" spans="1:41" x14ac:dyDescent="0.2">
      <c r="A55">
        <v>2023</v>
      </c>
      <c r="B55">
        <v>100972</v>
      </c>
      <c r="C55">
        <v>787</v>
      </c>
      <c r="D55" t="s">
        <v>309</v>
      </c>
      <c r="E55" t="s">
        <v>42</v>
      </c>
      <c r="F55">
        <v>311421</v>
      </c>
      <c r="G55" t="s">
        <v>281</v>
      </c>
      <c r="H55" t="s">
        <v>310</v>
      </c>
      <c r="I55" t="s">
        <v>311</v>
      </c>
      <c r="J55" t="s">
        <v>46</v>
      </c>
      <c r="K55">
        <v>93234</v>
      </c>
      <c r="L55">
        <v>36.183</v>
      </c>
      <c r="M55">
        <v>-120.152</v>
      </c>
      <c r="N55" t="s">
        <v>312</v>
      </c>
      <c r="O55" t="s">
        <v>303</v>
      </c>
      <c r="P55" t="s">
        <v>194</v>
      </c>
      <c r="Q55" t="s">
        <v>195</v>
      </c>
      <c r="R55" t="s">
        <v>51</v>
      </c>
      <c r="S55" s="1">
        <v>71813</v>
      </c>
      <c r="T55" s="1">
        <v>71813</v>
      </c>
      <c r="U55">
        <v>0</v>
      </c>
      <c r="V55" s="1">
        <v>71738</v>
      </c>
      <c r="W55">
        <v>1.35</v>
      </c>
      <c r="X55">
        <v>0.14000000000000001</v>
      </c>
      <c r="Y55" s="12">
        <v>71813</v>
      </c>
      <c r="Z55" s="12">
        <v>6.1</v>
      </c>
      <c r="AA55" s="12">
        <v>3.5</v>
      </c>
      <c r="AB55" s="12">
        <v>0.7</v>
      </c>
      <c r="AC55" s="12">
        <v>3</v>
      </c>
      <c r="AD55" s="12">
        <v>3</v>
      </c>
      <c r="AE55">
        <v>4.03</v>
      </c>
      <c r="AI55">
        <v>8.94</v>
      </c>
      <c r="AM55">
        <v>0.47699999999999998</v>
      </c>
      <c r="AN55">
        <v>0.60199999999999998</v>
      </c>
      <c r="AO55">
        <v>2.7810000000000001</v>
      </c>
    </row>
    <row r="56" spans="1:41" x14ac:dyDescent="0.2">
      <c r="A56">
        <v>2023</v>
      </c>
      <c r="B56">
        <v>100997</v>
      </c>
      <c r="C56">
        <v>18452</v>
      </c>
      <c r="D56" t="s">
        <v>313</v>
      </c>
      <c r="E56" t="s">
        <v>42</v>
      </c>
      <c r="F56">
        <v>611310</v>
      </c>
      <c r="G56" t="s">
        <v>103</v>
      </c>
      <c r="H56" t="s">
        <v>314</v>
      </c>
      <c r="I56" t="s">
        <v>48</v>
      </c>
      <c r="J56" t="s">
        <v>46</v>
      </c>
      <c r="K56">
        <v>90095</v>
      </c>
      <c r="L56">
        <v>34.070999999999998</v>
      </c>
      <c r="M56">
        <v>-118.44499999999999</v>
      </c>
      <c r="N56" t="s">
        <v>315</v>
      </c>
      <c r="O56" t="s">
        <v>48</v>
      </c>
      <c r="P56" t="s">
        <v>49</v>
      </c>
      <c r="Q56" t="s">
        <v>50</v>
      </c>
      <c r="R56" t="s">
        <v>51</v>
      </c>
      <c r="S56" s="1">
        <v>204761</v>
      </c>
      <c r="T56" s="1">
        <v>204761</v>
      </c>
      <c r="U56">
        <v>0</v>
      </c>
      <c r="V56" s="1">
        <v>204550</v>
      </c>
      <c r="W56">
        <v>3.86</v>
      </c>
      <c r="X56">
        <v>0.39</v>
      </c>
      <c r="Y56" s="12">
        <v>204755</v>
      </c>
      <c r="Z56" s="12">
        <v>19.7</v>
      </c>
      <c r="AA56" s="12">
        <v>94.5</v>
      </c>
      <c r="AB56" s="12">
        <v>1.1000000000000001</v>
      </c>
      <c r="AC56" s="12">
        <v>20.100000000000001</v>
      </c>
      <c r="AD56" s="12">
        <v>17.8</v>
      </c>
      <c r="AE56">
        <v>57.4</v>
      </c>
      <c r="AF56">
        <v>6.08</v>
      </c>
      <c r="AG56">
        <v>2E-3</v>
      </c>
      <c r="AH56">
        <v>438</v>
      </c>
      <c r="AI56" s="1">
        <v>3153</v>
      </c>
      <c r="AJ56">
        <v>3.98</v>
      </c>
      <c r="AL56">
        <v>8.3000000000000004E-2</v>
      </c>
      <c r="AM56">
        <v>14.396000000000001</v>
      </c>
      <c r="AN56">
        <v>13.143000000000001</v>
      </c>
      <c r="AO56" s="2">
        <v>1252.981</v>
      </c>
    </row>
    <row r="57" spans="1:41" x14ac:dyDescent="0.2">
      <c r="A57">
        <v>2023</v>
      </c>
      <c r="B57">
        <v>101008</v>
      </c>
      <c r="C57">
        <v>1276</v>
      </c>
      <c r="D57" t="s">
        <v>316</v>
      </c>
      <c r="E57" t="s">
        <v>42</v>
      </c>
      <c r="F57">
        <v>311421</v>
      </c>
      <c r="G57" t="s">
        <v>281</v>
      </c>
      <c r="H57" t="s">
        <v>317</v>
      </c>
      <c r="I57" t="s">
        <v>318</v>
      </c>
      <c r="J57" t="s">
        <v>46</v>
      </c>
      <c r="K57">
        <v>93635</v>
      </c>
      <c r="L57">
        <v>37.143999999999998</v>
      </c>
      <c r="M57">
        <v>-120.96</v>
      </c>
      <c r="N57" t="s">
        <v>319</v>
      </c>
      <c r="O57" t="s">
        <v>320</v>
      </c>
      <c r="P57" t="s">
        <v>194</v>
      </c>
      <c r="Q57" t="s">
        <v>195</v>
      </c>
      <c r="R57" t="s">
        <v>51</v>
      </c>
      <c r="S57" s="1">
        <v>96699</v>
      </c>
      <c r="T57" s="1">
        <v>96699</v>
      </c>
      <c r="U57">
        <v>0</v>
      </c>
      <c r="V57" s="1">
        <v>96599</v>
      </c>
      <c r="W57">
        <v>1.82</v>
      </c>
      <c r="X57">
        <v>0.18</v>
      </c>
      <c r="Y57" s="12">
        <v>96699</v>
      </c>
      <c r="Z57" s="12">
        <v>9.1</v>
      </c>
      <c r="AA57" s="12">
        <v>4</v>
      </c>
      <c r="AB57" s="12">
        <v>2.4</v>
      </c>
      <c r="AC57" s="12">
        <v>4</v>
      </c>
      <c r="AD57" s="12">
        <v>4</v>
      </c>
      <c r="AE57">
        <v>16</v>
      </c>
      <c r="AH57">
        <v>1.06</v>
      </c>
      <c r="AI57">
        <v>11.5</v>
      </c>
      <c r="AM57">
        <v>0.39700000000000002</v>
      </c>
      <c r="AN57">
        <v>0.38100000000000001</v>
      </c>
      <c r="AO57">
        <v>9.1880000000000006</v>
      </c>
    </row>
    <row r="58" spans="1:41" x14ac:dyDescent="0.2">
      <c r="A58">
        <v>2023</v>
      </c>
      <c r="B58">
        <v>101010</v>
      </c>
      <c r="C58">
        <v>1</v>
      </c>
      <c r="D58" t="s">
        <v>321</v>
      </c>
      <c r="E58" t="s">
        <v>61</v>
      </c>
      <c r="F58">
        <v>327310</v>
      </c>
      <c r="G58" t="s">
        <v>62</v>
      </c>
      <c r="H58" t="s">
        <v>322</v>
      </c>
      <c r="I58" t="s">
        <v>323</v>
      </c>
      <c r="J58" t="s">
        <v>46</v>
      </c>
      <c r="K58">
        <v>92356</v>
      </c>
      <c r="L58">
        <v>34.354999999999997</v>
      </c>
      <c r="M58">
        <v>-116.855</v>
      </c>
      <c r="N58" t="s">
        <v>324</v>
      </c>
      <c r="O58" t="s">
        <v>57</v>
      </c>
      <c r="P58" t="s">
        <v>58</v>
      </c>
      <c r="Q58" t="s">
        <v>59</v>
      </c>
      <c r="R58" t="s">
        <v>51</v>
      </c>
      <c r="S58" s="1">
        <v>1220660</v>
      </c>
      <c r="T58" s="1">
        <v>1179972</v>
      </c>
      <c r="U58" s="1">
        <v>40688</v>
      </c>
      <c r="V58" s="1">
        <v>1216585</v>
      </c>
      <c r="W58">
        <v>61.3</v>
      </c>
      <c r="X58">
        <v>8.5299999999999994</v>
      </c>
      <c r="Y58" s="12">
        <v>1179972</v>
      </c>
      <c r="Z58" s="12">
        <v>26.1</v>
      </c>
      <c r="AA58" s="12">
        <v>1929.9</v>
      </c>
      <c r="AB58" s="12">
        <v>336.2</v>
      </c>
      <c r="AC58" s="12">
        <v>513.1</v>
      </c>
      <c r="AD58" s="12">
        <v>181.3</v>
      </c>
      <c r="AE58" s="1">
        <v>2256</v>
      </c>
      <c r="AF58">
        <v>30.2</v>
      </c>
      <c r="AG58">
        <v>6.67</v>
      </c>
      <c r="AH58">
        <v>52</v>
      </c>
      <c r="AI58" s="1">
        <v>8651</v>
      </c>
      <c r="AJ58" s="1">
        <v>18031</v>
      </c>
      <c r="AL58">
        <v>22.9</v>
      </c>
      <c r="AM58">
        <v>89.766999999999996</v>
      </c>
      <c r="AN58">
        <v>236.267</v>
      </c>
      <c r="AO58" s="2">
        <v>9714.0910000000003</v>
      </c>
    </row>
    <row r="59" spans="1:41" x14ac:dyDescent="0.2">
      <c r="A59">
        <v>2023</v>
      </c>
      <c r="B59">
        <v>101015</v>
      </c>
      <c r="C59">
        <v>907</v>
      </c>
      <c r="D59" t="s">
        <v>325</v>
      </c>
      <c r="E59" t="s">
        <v>42</v>
      </c>
      <c r="F59">
        <v>221320</v>
      </c>
      <c r="G59" t="s">
        <v>122</v>
      </c>
      <c r="H59" t="s">
        <v>326</v>
      </c>
      <c r="I59" t="s">
        <v>171</v>
      </c>
      <c r="J59" t="s">
        <v>46</v>
      </c>
      <c r="K59">
        <v>94553</v>
      </c>
      <c r="L59">
        <v>38</v>
      </c>
      <c r="M59">
        <v>-122.069</v>
      </c>
      <c r="N59" t="s">
        <v>327</v>
      </c>
      <c r="O59" t="s">
        <v>173</v>
      </c>
      <c r="P59" t="s">
        <v>108</v>
      </c>
      <c r="Q59" t="s">
        <v>109</v>
      </c>
      <c r="R59" t="s">
        <v>75</v>
      </c>
      <c r="S59" s="1">
        <v>72845</v>
      </c>
      <c r="T59" s="1">
        <v>24577</v>
      </c>
      <c r="U59" s="1">
        <v>48268</v>
      </c>
      <c r="V59" s="1">
        <v>71946</v>
      </c>
      <c r="W59">
        <v>13.99</v>
      </c>
      <c r="X59">
        <v>1.84</v>
      </c>
      <c r="Y59" s="12">
        <v>0</v>
      </c>
      <c r="Z59" s="12">
        <v>15.6</v>
      </c>
      <c r="AA59" s="12">
        <v>66.8</v>
      </c>
      <c r="AB59" s="12">
        <v>0.6</v>
      </c>
      <c r="AC59" s="12">
        <v>4.7</v>
      </c>
      <c r="AD59" s="12">
        <v>4.5999999999999996</v>
      </c>
      <c r="AE59">
        <v>65.8</v>
      </c>
      <c r="AG59">
        <v>2.3E-2</v>
      </c>
      <c r="AH59">
        <v>0.64900000000000002</v>
      </c>
      <c r="AI59" s="1">
        <v>1765</v>
      </c>
      <c r="AJ59">
        <v>451</v>
      </c>
      <c r="AK59">
        <v>237</v>
      </c>
      <c r="AL59">
        <v>0.26500000000000001</v>
      </c>
      <c r="AM59">
        <v>13.731</v>
      </c>
      <c r="AN59">
        <v>21.504000000000001</v>
      </c>
      <c r="AO59">
        <v>353.93099999999998</v>
      </c>
    </row>
    <row r="60" spans="1:41" x14ac:dyDescent="0.2">
      <c r="A60">
        <v>2023</v>
      </c>
      <c r="B60">
        <v>101017</v>
      </c>
      <c r="C60">
        <v>10295</v>
      </c>
      <c r="D60" t="s">
        <v>328</v>
      </c>
      <c r="E60" t="s">
        <v>92</v>
      </c>
      <c r="F60">
        <v>325120</v>
      </c>
      <c r="G60" t="s">
        <v>93</v>
      </c>
      <c r="H60" t="s">
        <v>329</v>
      </c>
      <c r="I60" t="s">
        <v>171</v>
      </c>
      <c r="J60" t="s">
        <v>46</v>
      </c>
      <c r="K60">
        <v>94553</v>
      </c>
      <c r="L60">
        <v>38.020000000000003</v>
      </c>
      <c r="M60">
        <v>-122.06399999999999</v>
      </c>
      <c r="N60" t="s">
        <v>330</v>
      </c>
      <c r="O60" t="s">
        <v>173</v>
      </c>
      <c r="P60" t="s">
        <v>108</v>
      </c>
      <c r="Q60" t="s">
        <v>109</v>
      </c>
      <c r="R60" t="s">
        <v>51</v>
      </c>
      <c r="S60" s="1">
        <v>34800</v>
      </c>
      <c r="T60" s="1">
        <v>34800</v>
      </c>
      <c r="U60">
        <v>0</v>
      </c>
      <c r="V60" s="1">
        <v>34787</v>
      </c>
      <c r="W60">
        <v>0.15</v>
      </c>
      <c r="X60">
        <v>0.03</v>
      </c>
      <c r="Y60" s="12">
        <v>34800</v>
      </c>
      <c r="Z60" s="12">
        <v>4.3</v>
      </c>
      <c r="AA60" s="12">
        <v>6.6</v>
      </c>
      <c r="AB60" s="12">
        <v>0.4</v>
      </c>
      <c r="AC60" s="12">
        <v>0.6</v>
      </c>
      <c r="AD60" s="12">
        <v>0.6</v>
      </c>
      <c r="AE60">
        <v>6.78</v>
      </c>
      <c r="AF60">
        <v>9.9000000000000005E-2</v>
      </c>
      <c r="AH60">
        <v>776</v>
      </c>
      <c r="AI60">
        <v>62.5</v>
      </c>
      <c r="AM60">
        <v>0.32700000000000001</v>
      </c>
      <c r="AN60">
        <v>2.891</v>
      </c>
      <c r="AO60" s="2">
        <v>1800.08</v>
      </c>
    </row>
    <row r="61" spans="1:41" x14ac:dyDescent="0.2">
      <c r="A61">
        <v>2023</v>
      </c>
      <c r="B61">
        <v>101025</v>
      </c>
      <c r="C61">
        <v>1680</v>
      </c>
      <c r="D61" t="s">
        <v>331</v>
      </c>
      <c r="E61" t="s">
        <v>42</v>
      </c>
      <c r="F61">
        <v>311421</v>
      </c>
      <c r="G61" t="s">
        <v>281</v>
      </c>
      <c r="H61" t="s">
        <v>332</v>
      </c>
      <c r="I61" t="s">
        <v>333</v>
      </c>
      <c r="J61" t="s">
        <v>46</v>
      </c>
      <c r="K61">
        <v>95354</v>
      </c>
      <c r="L61">
        <v>37.636000000000003</v>
      </c>
      <c r="M61">
        <v>-120.991</v>
      </c>
      <c r="N61" t="s">
        <v>334</v>
      </c>
      <c r="O61" t="s">
        <v>335</v>
      </c>
      <c r="P61" t="s">
        <v>194</v>
      </c>
      <c r="Q61" t="s">
        <v>195</v>
      </c>
      <c r="R61" t="s">
        <v>51</v>
      </c>
      <c r="S61" s="1">
        <v>64803</v>
      </c>
      <c r="T61" s="1">
        <v>64803</v>
      </c>
      <c r="U61">
        <v>0</v>
      </c>
      <c r="V61" s="1">
        <v>64736</v>
      </c>
      <c r="W61">
        <v>1.22</v>
      </c>
      <c r="X61">
        <v>0.12</v>
      </c>
      <c r="Y61" s="12">
        <v>64803</v>
      </c>
      <c r="Z61" s="12">
        <v>2.1</v>
      </c>
      <c r="AA61" s="12">
        <v>2.8</v>
      </c>
      <c r="AB61" s="12">
        <v>1.4</v>
      </c>
      <c r="AC61" s="12">
        <v>3.6</v>
      </c>
      <c r="AD61" s="12">
        <v>3.6</v>
      </c>
      <c r="AE61">
        <v>2.74</v>
      </c>
      <c r="AI61">
        <v>5.8</v>
      </c>
      <c r="AM61">
        <v>0.158</v>
      </c>
      <c r="AN61">
        <v>0.14599999999999999</v>
      </c>
      <c r="AO61">
        <v>4.41</v>
      </c>
    </row>
    <row r="62" spans="1:41" x14ac:dyDescent="0.2">
      <c r="A62">
        <v>2023</v>
      </c>
      <c r="B62">
        <v>101029</v>
      </c>
      <c r="C62">
        <v>9</v>
      </c>
      <c r="D62" t="s">
        <v>336</v>
      </c>
      <c r="E62" t="s">
        <v>61</v>
      </c>
      <c r="F62">
        <v>327310</v>
      </c>
      <c r="G62" t="s">
        <v>62</v>
      </c>
      <c r="H62" t="s">
        <v>337</v>
      </c>
      <c r="I62" t="s">
        <v>338</v>
      </c>
      <c r="J62" t="s">
        <v>46</v>
      </c>
      <c r="K62">
        <v>93501</v>
      </c>
      <c r="L62">
        <v>35.039000000000001</v>
      </c>
      <c r="M62">
        <v>-118.30200000000001</v>
      </c>
      <c r="N62" t="s">
        <v>339</v>
      </c>
      <c r="O62" t="s">
        <v>193</v>
      </c>
      <c r="P62" t="s">
        <v>200</v>
      </c>
      <c r="Q62" t="s">
        <v>59</v>
      </c>
      <c r="R62" t="s">
        <v>51</v>
      </c>
      <c r="S62" s="1">
        <v>991653</v>
      </c>
      <c r="T62" s="1">
        <v>991653</v>
      </c>
      <c r="U62">
        <v>0</v>
      </c>
      <c r="V62" s="1">
        <v>989359</v>
      </c>
      <c r="W62">
        <v>33.86</v>
      </c>
      <c r="X62">
        <v>4.8600000000000003</v>
      </c>
      <c r="Y62" s="12">
        <v>991653</v>
      </c>
      <c r="Z62" s="12">
        <v>32.4</v>
      </c>
      <c r="AA62" s="12">
        <v>1437.6</v>
      </c>
      <c r="AB62" s="12">
        <v>243.6</v>
      </c>
      <c r="AC62" s="12">
        <v>148.80000000000001</v>
      </c>
      <c r="AD62" s="12">
        <v>64.900000000000006</v>
      </c>
      <c r="AE62">
        <v>242</v>
      </c>
      <c r="AF62">
        <v>6.0000000000000001E-3</v>
      </c>
      <c r="AH62">
        <v>740</v>
      </c>
      <c r="AI62">
        <v>74.8</v>
      </c>
      <c r="AJ62" s="1">
        <v>35561</v>
      </c>
      <c r="AL62">
        <v>20.399999999999999</v>
      </c>
      <c r="AM62">
        <v>55.826000000000001</v>
      </c>
      <c r="AN62">
        <v>874.774</v>
      </c>
      <c r="AO62" s="2">
        <v>3534.9879999999998</v>
      </c>
    </row>
    <row r="63" spans="1:41" x14ac:dyDescent="0.2">
      <c r="A63">
        <v>2023</v>
      </c>
      <c r="B63">
        <v>101031</v>
      </c>
      <c r="C63">
        <v>39</v>
      </c>
      <c r="D63" t="s">
        <v>340</v>
      </c>
      <c r="E63" t="s">
        <v>250</v>
      </c>
      <c r="F63">
        <v>221210</v>
      </c>
      <c r="G63" t="s">
        <v>341</v>
      </c>
      <c r="H63" t="s">
        <v>342</v>
      </c>
      <c r="I63" t="s">
        <v>343</v>
      </c>
      <c r="J63" t="s">
        <v>46</v>
      </c>
      <c r="K63">
        <v>92363</v>
      </c>
      <c r="L63">
        <v>34.713999999999999</v>
      </c>
      <c r="M63">
        <v>-114.49299999999999</v>
      </c>
      <c r="N63" t="s">
        <v>344</v>
      </c>
      <c r="O63" t="s">
        <v>57</v>
      </c>
      <c r="P63" t="s">
        <v>58</v>
      </c>
      <c r="Q63" t="s">
        <v>59</v>
      </c>
      <c r="R63" t="s">
        <v>51</v>
      </c>
      <c r="S63" s="1">
        <v>46833</v>
      </c>
      <c r="T63" s="1">
        <v>46833</v>
      </c>
      <c r="U63">
        <v>0</v>
      </c>
      <c r="V63" s="1">
        <v>42907</v>
      </c>
      <c r="W63">
        <v>156.06</v>
      </c>
      <c r="X63">
        <v>0.08</v>
      </c>
      <c r="Y63" s="12">
        <v>42931</v>
      </c>
      <c r="Z63" s="12">
        <v>21.2</v>
      </c>
      <c r="AA63" s="12">
        <v>522.20000000000005</v>
      </c>
      <c r="AB63" s="12">
        <v>0.2</v>
      </c>
      <c r="AC63" s="12">
        <v>19.7</v>
      </c>
      <c r="AD63" s="12">
        <v>19.100000000000001</v>
      </c>
      <c r="AE63" s="1">
        <v>1768</v>
      </c>
      <c r="AF63">
        <v>640</v>
      </c>
      <c r="AH63">
        <v>9.48</v>
      </c>
      <c r="AI63" s="1">
        <v>35190</v>
      </c>
      <c r="AM63">
        <v>231.524</v>
      </c>
      <c r="AN63">
        <v>162.18299999999999</v>
      </c>
      <c r="AO63" s="2">
        <v>3110.1559999999999</v>
      </c>
    </row>
    <row r="64" spans="1:41" x14ac:dyDescent="0.2">
      <c r="A64">
        <v>2023</v>
      </c>
      <c r="B64">
        <v>101035</v>
      </c>
      <c r="C64">
        <v>22308</v>
      </c>
      <c r="D64" t="s">
        <v>345</v>
      </c>
      <c r="E64" t="s">
        <v>42</v>
      </c>
      <c r="F64">
        <v>324191</v>
      </c>
      <c r="G64" t="s">
        <v>346</v>
      </c>
      <c r="H64" t="s">
        <v>347</v>
      </c>
      <c r="I64" t="s">
        <v>348</v>
      </c>
      <c r="J64" t="s">
        <v>46</v>
      </c>
      <c r="K64">
        <v>94560</v>
      </c>
      <c r="L64">
        <v>37.521000000000001</v>
      </c>
      <c r="M64">
        <v>-122.02</v>
      </c>
      <c r="N64" t="s">
        <v>349</v>
      </c>
      <c r="O64" t="s">
        <v>350</v>
      </c>
      <c r="P64" t="s">
        <v>108</v>
      </c>
      <c r="Q64" t="s">
        <v>109</v>
      </c>
      <c r="R64" t="s">
        <v>75</v>
      </c>
      <c r="S64" s="1">
        <v>7517</v>
      </c>
      <c r="T64" s="1">
        <v>7517</v>
      </c>
      <c r="U64">
        <v>0</v>
      </c>
      <c r="V64" s="1">
        <v>7510</v>
      </c>
      <c r="W64">
        <v>0.14000000000000001</v>
      </c>
      <c r="X64">
        <v>0.01</v>
      </c>
      <c r="Y64" s="12">
        <v>0</v>
      </c>
      <c r="Z64" s="12">
        <v>1.2</v>
      </c>
      <c r="AA64" s="12">
        <v>8.1</v>
      </c>
      <c r="AB64" s="12">
        <v>0</v>
      </c>
      <c r="AC64" s="12">
        <v>0.2</v>
      </c>
      <c r="AD64" s="12">
        <v>0.2</v>
      </c>
      <c r="AE64">
        <v>0.90100000000000002</v>
      </c>
      <c r="AI64">
        <v>22.2</v>
      </c>
      <c r="AL64">
        <v>0.191</v>
      </c>
      <c r="AM64">
        <v>0.27900000000000003</v>
      </c>
      <c r="AN64">
        <v>0.42199999999999999</v>
      </c>
      <c r="AO64">
        <v>5.3650000000000002</v>
      </c>
    </row>
    <row r="65" spans="1:41" x14ac:dyDescent="0.2">
      <c r="A65">
        <v>2023</v>
      </c>
      <c r="B65">
        <v>101053</v>
      </c>
      <c r="C65">
        <v>42630</v>
      </c>
      <c r="D65" t="s">
        <v>351</v>
      </c>
      <c r="E65" t="s">
        <v>92</v>
      </c>
      <c r="F65">
        <v>325120</v>
      </c>
      <c r="G65" t="s">
        <v>93</v>
      </c>
      <c r="H65" t="s">
        <v>352</v>
      </c>
      <c r="I65" t="s">
        <v>135</v>
      </c>
      <c r="J65" t="s">
        <v>46</v>
      </c>
      <c r="K65">
        <v>91761</v>
      </c>
      <c r="L65">
        <v>34.064</v>
      </c>
      <c r="M65">
        <v>-117.53</v>
      </c>
      <c r="N65" t="s">
        <v>136</v>
      </c>
      <c r="O65" t="s">
        <v>57</v>
      </c>
      <c r="P65" t="s">
        <v>49</v>
      </c>
      <c r="Q65" t="s">
        <v>50</v>
      </c>
      <c r="R65" t="s">
        <v>51</v>
      </c>
      <c r="S65" s="1">
        <v>70911</v>
      </c>
      <c r="T65" s="1">
        <v>70911</v>
      </c>
      <c r="U65">
        <v>0</v>
      </c>
      <c r="V65" s="1">
        <v>70758</v>
      </c>
      <c r="W65">
        <v>1.82</v>
      </c>
      <c r="X65">
        <v>0.36</v>
      </c>
      <c r="Y65" s="12">
        <v>70911</v>
      </c>
      <c r="Z65" s="12">
        <v>2.9</v>
      </c>
      <c r="AA65" s="12">
        <v>2.6</v>
      </c>
      <c r="AB65" s="12">
        <v>0</v>
      </c>
      <c r="AC65" s="12">
        <v>3.7</v>
      </c>
      <c r="AD65" s="12">
        <v>2.2000000000000002</v>
      </c>
      <c r="AE65">
        <v>3.52</v>
      </c>
      <c r="AF65">
        <v>6.0000000000000001E-3</v>
      </c>
      <c r="AG65">
        <v>0</v>
      </c>
      <c r="AH65">
        <v>0.16900000000000001</v>
      </c>
      <c r="AI65">
        <v>7.43</v>
      </c>
      <c r="AJ65">
        <v>1E-3</v>
      </c>
      <c r="AL65">
        <v>0.01</v>
      </c>
      <c r="AM65">
        <v>0.23699999999999999</v>
      </c>
      <c r="AN65">
        <v>0.24</v>
      </c>
      <c r="AO65">
        <v>3.5680000000000001</v>
      </c>
    </row>
    <row r="66" spans="1:41" x14ac:dyDescent="0.2">
      <c r="A66">
        <v>2023</v>
      </c>
      <c r="B66">
        <v>101056</v>
      </c>
      <c r="C66">
        <v>187165</v>
      </c>
      <c r="D66" t="s">
        <v>353</v>
      </c>
      <c r="E66" t="s">
        <v>111</v>
      </c>
      <c r="F66">
        <v>325199</v>
      </c>
      <c r="G66" t="s">
        <v>354</v>
      </c>
      <c r="H66" t="s">
        <v>355</v>
      </c>
      <c r="I66" t="s">
        <v>356</v>
      </c>
      <c r="J66" t="s">
        <v>46</v>
      </c>
      <c r="K66">
        <v>90723</v>
      </c>
      <c r="L66">
        <v>33.9</v>
      </c>
      <c r="M66">
        <v>-118.15</v>
      </c>
      <c r="N66" t="s">
        <v>357</v>
      </c>
      <c r="O66" t="s">
        <v>48</v>
      </c>
      <c r="P66" t="s">
        <v>49</v>
      </c>
      <c r="Q66" t="s">
        <v>50</v>
      </c>
      <c r="R66" t="s">
        <v>75</v>
      </c>
      <c r="S66" s="1">
        <v>23570</v>
      </c>
      <c r="T66" s="1">
        <v>5699</v>
      </c>
      <c r="U66" s="1">
        <v>17872</v>
      </c>
      <c r="V66" s="1">
        <v>23471</v>
      </c>
      <c r="W66">
        <v>1.19</v>
      </c>
      <c r="X66">
        <v>0.24</v>
      </c>
      <c r="Y66" s="12">
        <v>0</v>
      </c>
      <c r="Z66" s="12">
        <v>19.2</v>
      </c>
      <c r="AA66" s="12">
        <v>25.6</v>
      </c>
      <c r="AB66" s="12">
        <v>3.8</v>
      </c>
      <c r="AC66" s="12">
        <v>5.6</v>
      </c>
      <c r="AD66" s="12">
        <v>5.3</v>
      </c>
      <c r="AE66">
        <v>48.7</v>
      </c>
      <c r="AF66">
        <v>11.6</v>
      </c>
      <c r="AG66">
        <v>0.03</v>
      </c>
      <c r="AH66">
        <v>122</v>
      </c>
      <c r="AI66">
        <v>115</v>
      </c>
      <c r="AJ66">
        <v>9.56</v>
      </c>
      <c r="AK66">
        <v>33.6</v>
      </c>
      <c r="AL66">
        <v>0.219</v>
      </c>
      <c r="AM66">
        <v>1.4690000000000001</v>
      </c>
      <c r="AN66">
        <v>2.294</v>
      </c>
      <c r="AO66">
        <v>373.41500000000002</v>
      </c>
    </row>
    <row r="67" spans="1:41" x14ac:dyDescent="0.2">
      <c r="A67">
        <v>2023</v>
      </c>
      <c r="B67">
        <v>101068</v>
      </c>
      <c r="D67" t="s">
        <v>358</v>
      </c>
      <c r="E67" t="s">
        <v>42</v>
      </c>
      <c r="F67">
        <v>331221</v>
      </c>
      <c r="G67" t="s">
        <v>298</v>
      </c>
      <c r="H67" t="s">
        <v>359</v>
      </c>
      <c r="I67" t="s">
        <v>230</v>
      </c>
      <c r="J67" t="s">
        <v>46</v>
      </c>
      <c r="K67">
        <v>94565</v>
      </c>
      <c r="L67">
        <v>38.026000000000003</v>
      </c>
      <c r="M67">
        <v>-121.866</v>
      </c>
      <c r="N67" t="s">
        <v>231</v>
      </c>
      <c r="O67" t="s">
        <v>173</v>
      </c>
      <c r="P67" t="s">
        <v>108</v>
      </c>
      <c r="Q67" t="s">
        <v>109</v>
      </c>
      <c r="R67" t="s">
        <v>51</v>
      </c>
      <c r="S67" s="1">
        <v>28054</v>
      </c>
      <c r="T67" s="1">
        <v>28054</v>
      </c>
      <c r="U67">
        <v>0</v>
      </c>
      <c r="V67" s="1">
        <v>28025</v>
      </c>
      <c r="W67">
        <v>0.53</v>
      </c>
      <c r="X67">
        <v>0.05</v>
      </c>
      <c r="Y67" s="12">
        <v>28052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</row>
    <row r="68" spans="1:41" x14ac:dyDescent="0.2">
      <c r="A68">
        <v>2023</v>
      </c>
      <c r="B68">
        <v>101118</v>
      </c>
      <c r="C68">
        <v>1795</v>
      </c>
      <c r="D68" t="s">
        <v>360</v>
      </c>
      <c r="E68" t="s">
        <v>42</v>
      </c>
      <c r="F68">
        <v>333611</v>
      </c>
      <c r="G68" t="s">
        <v>361</v>
      </c>
      <c r="H68" t="s">
        <v>362</v>
      </c>
      <c r="I68" t="s">
        <v>126</v>
      </c>
      <c r="J68" t="s">
        <v>46</v>
      </c>
      <c r="K68">
        <v>92123</v>
      </c>
      <c r="L68">
        <v>32.820999999999998</v>
      </c>
      <c r="M68">
        <v>-117.128</v>
      </c>
      <c r="N68" t="s">
        <v>140</v>
      </c>
      <c r="O68" t="s">
        <v>126</v>
      </c>
      <c r="P68" t="s">
        <v>127</v>
      </c>
      <c r="Q68" t="s">
        <v>126</v>
      </c>
      <c r="R68" t="s">
        <v>51</v>
      </c>
      <c r="S68" s="1">
        <v>34316</v>
      </c>
      <c r="T68" s="1">
        <v>34316</v>
      </c>
      <c r="U68">
        <v>0</v>
      </c>
      <c r="V68" s="1">
        <v>34278</v>
      </c>
      <c r="W68">
        <v>0.67</v>
      </c>
      <c r="X68">
        <v>7.0000000000000007E-2</v>
      </c>
      <c r="Y68" s="12">
        <v>33349</v>
      </c>
      <c r="Z68" s="12">
        <v>13.5</v>
      </c>
      <c r="AA68" s="12">
        <v>56.7</v>
      </c>
      <c r="AB68" s="12">
        <v>0.4</v>
      </c>
      <c r="AC68" s="12">
        <v>2.2000000000000002</v>
      </c>
      <c r="AD68" s="12">
        <v>2.1</v>
      </c>
      <c r="AE68">
        <v>7.93</v>
      </c>
      <c r="AF68">
        <v>0.59399999999999997</v>
      </c>
      <c r="AG68">
        <v>0</v>
      </c>
      <c r="AH68">
        <v>21.3</v>
      </c>
      <c r="AI68">
        <v>422</v>
      </c>
      <c r="AJ68">
        <v>0.13500000000000001</v>
      </c>
      <c r="AL68">
        <v>2.3E-2</v>
      </c>
      <c r="AM68">
        <v>1.923</v>
      </c>
      <c r="AN68">
        <v>1.228</v>
      </c>
      <c r="AO68">
        <v>97.308000000000007</v>
      </c>
    </row>
    <row r="69" spans="1:41" x14ac:dyDescent="0.2">
      <c r="A69">
        <v>2023</v>
      </c>
      <c r="B69">
        <v>101124</v>
      </c>
      <c r="C69">
        <v>51</v>
      </c>
      <c r="D69" t="s">
        <v>363</v>
      </c>
      <c r="E69" t="s">
        <v>42</v>
      </c>
      <c r="F69">
        <v>488190</v>
      </c>
      <c r="G69" t="s">
        <v>364</v>
      </c>
      <c r="H69" t="s">
        <v>365</v>
      </c>
      <c r="I69" t="s">
        <v>366</v>
      </c>
      <c r="J69" t="s">
        <v>46</v>
      </c>
      <c r="K69">
        <v>94128</v>
      </c>
      <c r="L69">
        <v>37.634999999999998</v>
      </c>
      <c r="M69">
        <v>-122.399</v>
      </c>
      <c r="N69" t="s">
        <v>367</v>
      </c>
      <c r="O69" t="s">
        <v>182</v>
      </c>
      <c r="P69" t="s">
        <v>108</v>
      </c>
      <c r="Q69" t="s">
        <v>109</v>
      </c>
      <c r="R69" t="s">
        <v>75</v>
      </c>
      <c r="S69" s="1">
        <v>27062</v>
      </c>
      <c r="T69" s="1">
        <v>27062</v>
      </c>
      <c r="U69">
        <v>0</v>
      </c>
      <c r="V69" s="1">
        <v>27023</v>
      </c>
      <c r="W69">
        <v>0.6</v>
      </c>
      <c r="X69">
        <v>0.08</v>
      </c>
      <c r="Y69" s="12">
        <v>0</v>
      </c>
      <c r="Z69" s="12">
        <v>17.7</v>
      </c>
      <c r="AA69" s="12">
        <v>42.3</v>
      </c>
      <c r="AB69" s="12">
        <v>1.7</v>
      </c>
      <c r="AC69" s="12">
        <v>5.6</v>
      </c>
      <c r="AD69" s="12">
        <v>5.6</v>
      </c>
      <c r="AE69">
        <v>5.0999999999999996</v>
      </c>
      <c r="AG69">
        <v>0</v>
      </c>
      <c r="AH69">
        <v>34.4</v>
      </c>
      <c r="AI69">
        <v>93.8</v>
      </c>
      <c r="AL69">
        <v>0.89</v>
      </c>
      <c r="AM69">
        <v>1.4910000000000001</v>
      </c>
      <c r="AN69">
        <v>2.089</v>
      </c>
      <c r="AO69">
        <v>104.22799999999999</v>
      </c>
    </row>
    <row r="70" spans="1:41" x14ac:dyDescent="0.2">
      <c r="A70">
        <v>2023</v>
      </c>
      <c r="B70">
        <v>101140</v>
      </c>
      <c r="C70">
        <v>778</v>
      </c>
      <c r="D70" t="s">
        <v>368</v>
      </c>
      <c r="E70" t="s">
        <v>42</v>
      </c>
      <c r="F70">
        <v>221320</v>
      </c>
      <c r="G70" t="s">
        <v>122</v>
      </c>
      <c r="H70" t="s">
        <v>369</v>
      </c>
      <c r="I70" t="s">
        <v>105</v>
      </c>
      <c r="J70" t="s">
        <v>46</v>
      </c>
      <c r="K70">
        <v>95134</v>
      </c>
      <c r="L70">
        <v>37.433999999999997</v>
      </c>
      <c r="M70">
        <v>-121.947</v>
      </c>
      <c r="N70" t="s">
        <v>370</v>
      </c>
      <c r="O70" t="s">
        <v>107</v>
      </c>
      <c r="P70" t="s">
        <v>108</v>
      </c>
      <c r="Q70" t="s">
        <v>109</v>
      </c>
      <c r="R70" t="s">
        <v>75</v>
      </c>
      <c r="S70" s="1">
        <v>39400</v>
      </c>
      <c r="T70" s="1">
        <v>19787</v>
      </c>
      <c r="U70" s="1">
        <v>19614</v>
      </c>
      <c r="V70" s="1">
        <v>39279</v>
      </c>
      <c r="W70">
        <v>1.58</v>
      </c>
      <c r="X70">
        <v>0.27</v>
      </c>
      <c r="Y70" s="12">
        <v>0</v>
      </c>
      <c r="Z70" s="12">
        <v>24</v>
      </c>
      <c r="AA70" s="12">
        <v>16.3</v>
      </c>
      <c r="AB70" s="12">
        <v>10.7</v>
      </c>
      <c r="AC70" s="12">
        <v>7.3</v>
      </c>
      <c r="AD70" s="12">
        <v>7.2</v>
      </c>
      <c r="AE70">
        <v>265</v>
      </c>
      <c r="AG70">
        <v>0</v>
      </c>
      <c r="AH70">
        <v>7.83</v>
      </c>
      <c r="AI70" s="1">
        <v>2239</v>
      </c>
      <c r="AK70" s="1">
        <v>11467</v>
      </c>
      <c r="AL70">
        <v>8.3000000000000004E-2</v>
      </c>
      <c r="AM70">
        <v>57.332999999999998</v>
      </c>
      <c r="AN70">
        <v>26.312000000000001</v>
      </c>
      <c r="AO70">
        <v>263.28199999999998</v>
      </c>
    </row>
    <row r="71" spans="1:41" x14ac:dyDescent="0.2">
      <c r="A71">
        <v>2023</v>
      </c>
      <c r="B71">
        <v>101154</v>
      </c>
      <c r="D71" t="s">
        <v>371</v>
      </c>
      <c r="E71" t="s">
        <v>42</v>
      </c>
      <c r="F71">
        <v>327993</v>
      </c>
      <c r="G71" t="s">
        <v>275</v>
      </c>
      <c r="H71" t="s">
        <v>372</v>
      </c>
      <c r="I71" t="s">
        <v>107</v>
      </c>
      <c r="J71" t="s">
        <v>46</v>
      </c>
      <c r="K71">
        <v>95050</v>
      </c>
      <c r="L71">
        <v>37.374000000000002</v>
      </c>
      <c r="M71">
        <v>-121.953</v>
      </c>
      <c r="N71" t="s">
        <v>373</v>
      </c>
      <c r="O71" t="s">
        <v>107</v>
      </c>
      <c r="P71" t="s">
        <v>108</v>
      </c>
      <c r="Q71" t="s">
        <v>109</v>
      </c>
      <c r="R71" t="s">
        <v>51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</row>
    <row r="72" spans="1:41" x14ac:dyDescent="0.2">
      <c r="A72">
        <v>2023</v>
      </c>
      <c r="B72">
        <v>101162</v>
      </c>
      <c r="C72">
        <v>800080</v>
      </c>
      <c r="D72" t="s">
        <v>374</v>
      </c>
      <c r="E72" t="s">
        <v>111</v>
      </c>
      <c r="F72">
        <v>324110</v>
      </c>
      <c r="G72" t="s">
        <v>112</v>
      </c>
      <c r="H72" t="s">
        <v>375</v>
      </c>
      <c r="I72" t="s">
        <v>376</v>
      </c>
      <c r="J72" t="s">
        <v>46</v>
      </c>
      <c r="K72">
        <v>90280</v>
      </c>
      <c r="L72">
        <v>33.947000000000003</v>
      </c>
      <c r="M72">
        <v>-118.167</v>
      </c>
      <c r="N72" t="s">
        <v>377</v>
      </c>
      <c r="O72" t="s">
        <v>48</v>
      </c>
      <c r="P72" t="s">
        <v>49</v>
      </c>
      <c r="Q72" t="s">
        <v>50</v>
      </c>
      <c r="R72" t="s">
        <v>51</v>
      </c>
      <c r="S72" s="1">
        <v>37042</v>
      </c>
      <c r="T72" s="1">
        <v>37042</v>
      </c>
      <c r="U72">
        <v>0</v>
      </c>
      <c r="V72" s="1">
        <v>36593</v>
      </c>
      <c r="W72">
        <v>15.77</v>
      </c>
      <c r="X72">
        <v>0.18</v>
      </c>
      <c r="Y72" s="12">
        <v>36591</v>
      </c>
      <c r="Z72" s="12">
        <v>11</v>
      </c>
      <c r="AA72" s="12">
        <v>27.2</v>
      </c>
      <c r="AB72" s="12">
        <v>23.7</v>
      </c>
      <c r="AC72" s="12">
        <v>7.6</v>
      </c>
      <c r="AD72" s="12">
        <v>6.5</v>
      </c>
      <c r="AE72">
        <v>23.1</v>
      </c>
      <c r="AF72">
        <v>0.27700000000000002</v>
      </c>
      <c r="AG72">
        <v>0</v>
      </c>
      <c r="AH72">
        <v>14.1</v>
      </c>
      <c r="AI72">
        <v>13.1</v>
      </c>
      <c r="AJ72">
        <v>7.8E-2</v>
      </c>
      <c r="AL72">
        <v>0.126</v>
      </c>
      <c r="AM72">
        <v>0.56200000000000006</v>
      </c>
      <c r="AN72">
        <v>0.67700000000000005</v>
      </c>
      <c r="AO72">
        <v>43.286999999999999</v>
      </c>
    </row>
    <row r="73" spans="1:41" x14ac:dyDescent="0.2">
      <c r="A73">
        <v>2023</v>
      </c>
      <c r="B73">
        <v>101179</v>
      </c>
      <c r="C73">
        <v>1381</v>
      </c>
      <c r="D73" t="s">
        <v>378</v>
      </c>
      <c r="E73" t="s">
        <v>42</v>
      </c>
      <c r="F73">
        <v>325414</v>
      </c>
      <c r="G73" t="s">
        <v>379</v>
      </c>
      <c r="H73" t="s">
        <v>380</v>
      </c>
      <c r="I73" t="s">
        <v>381</v>
      </c>
      <c r="J73" t="s">
        <v>46</v>
      </c>
      <c r="K73">
        <v>91320</v>
      </c>
      <c r="L73">
        <v>34.191000000000003</v>
      </c>
      <c r="M73">
        <v>-118.92400000000001</v>
      </c>
      <c r="N73" t="s">
        <v>382</v>
      </c>
      <c r="O73" t="s">
        <v>153</v>
      </c>
      <c r="P73" t="s">
        <v>154</v>
      </c>
      <c r="Q73" t="s">
        <v>155</v>
      </c>
      <c r="R73" t="s">
        <v>75</v>
      </c>
      <c r="S73" s="1">
        <v>20212</v>
      </c>
      <c r="T73" s="1">
        <v>20212</v>
      </c>
      <c r="U73">
        <v>0</v>
      </c>
      <c r="V73" s="1">
        <v>20191</v>
      </c>
      <c r="W73">
        <v>0.38</v>
      </c>
      <c r="X73">
        <v>0.04</v>
      </c>
      <c r="Y73" s="12">
        <v>0</v>
      </c>
      <c r="Z73" s="12">
        <v>6.2</v>
      </c>
      <c r="AA73" s="12">
        <v>1.7</v>
      </c>
      <c r="AB73" s="12">
        <v>0.1</v>
      </c>
      <c r="AC73" s="12">
        <v>0.6</v>
      </c>
      <c r="AD73" s="12">
        <v>0.6</v>
      </c>
      <c r="AE73">
        <v>0.88500000000000001</v>
      </c>
      <c r="AH73">
        <v>7.06</v>
      </c>
      <c r="AI73">
        <v>1.88</v>
      </c>
      <c r="AL73">
        <v>0</v>
      </c>
      <c r="AM73">
        <v>0.45300000000000001</v>
      </c>
      <c r="AN73">
        <v>7.2999999999999995E-2</v>
      </c>
      <c r="AO73">
        <v>16.748999999999999</v>
      </c>
    </row>
    <row r="74" spans="1:41" x14ac:dyDescent="0.2">
      <c r="A74">
        <v>2023</v>
      </c>
      <c r="B74">
        <v>101183</v>
      </c>
      <c r="C74">
        <v>593</v>
      </c>
      <c r="D74" t="s">
        <v>383</v>
      </c>
      <c r="E74" t="s">
        <v>42</v>
      </c>
      <c r="F74">
        <v>327213</v>
      </c>
      <c r="G74" t="s">
        <v>384</v>
      </c>
      <c r="H74" t="s">
        <v>385</v>
      </c>
      <c r="I74" t="s">
        <v>386</v>
      </c>
      <c r="J74" t="s">
        <v>46</v>
      </c>
      <c r="K74">
        <v>95377</v>
      </c>
      <c r="L74">
        <v>37.716000000000001</v>
      </c>
      <c r="M74">
        <v>-121.491</v>
      </c>
      <c r="N74" t="s">
        <v>387</v>
      </c>
      <c r="O74" t="s">
        <v>388</v>
      </c>
      <c r="P74" t="s">
        <v>194</v>
      </c>
      <c r="Q74" t="s">
        <v>195</v>
      </c>
      <c r="R74" t="s">
        <v>51</v>
      </c>
      <c r="S74" s="1">
        <v>84330</v>
      </c>
      <c r="T74" s="1">
        <v>84330</v>
      </c>
      <c r="U74">
        <v>0</v>
      </c>
      <c r="V74" s="1">
        <v>84263</v>
      </c>
      <c r="W74">
        <v>1.21</v>
      </c>
      <c r="X74">
        <v>0.12</v>
      </c>
      <c r="Y74" s="12">
        <v>84330</v>
      </c>
      <c r="Z74" s="12">
        <v>2.2999999999999998</v>
      </c>
      <c r="AA74" s="12">
        <v>120.4</v>
      </c>
      <c r="AB74" s="12">
        <v>78.599999999999994</v>
      </c>
      <c r="AC74" s="12">
        <v>30.6</v>
      </c>
      <c r="AD74" s="12">
        <v>23.6</v>
      </c>
      <c r="AE74">
        <v>5.26</v>
      </c>
      <c r="AG74">
        <v>1E-3</v>
      </c>
      <c r="AH74">
        <v>0</v>
      </c>
      <c r="AI74">
        <v>11.1</v>
      </c>
      <c r="AL74">
        <v>4.74</v>
      </c>
      <c r="AM74">
        <v>5.0369999999999999</v>
      </c>
      <c r="AN74">
        <v>7.7729999999999997</v>
      </c>
      <c r="AO74">
        <v>26.363</v>
      </c>
    </row>
    <row r="75" spans="1:41" x14ac:dyDescent="0.2">
      <c r="A75">
        <v>2023</v>
      </c>
      <c r="B75">
        <v>101186</v>
      </c>
      <c r="C75">
        <v>1203</v>
      </c>
      <c r="D75" t="s">
        <v>389</v>
      </c>
      <c r="E75" t="s">
        <v>42</v>
      </c>
      <c r="F75">
        <v>311513</v>
      </c>
      <c r="G75" t="s">
        <v>390</v>
      </c>
      <c r="H75" t="s">
        <v>391</v>
      </c>
      <c r="I75" t="s">
        <v>392</v>
      </c>
      <c r="J75" t="s">
        <v>46</v>
      </c>
      <c r="K75">
        <v>93274</v>
      </c>
      <c r="L75">
        <v>36.182000000000002</v>
      </c>
      <c r="M75">
        <v>-119.336</v>
      </c>
      <c r="N75" t="s">
        <v>393</v>
      </c>
      <c r="O75" t="s">
        <v>392</v>
      </c>
      <c r="P75" t="s">
        <v>194</v>
      </c>
      <c r="Q75" t="s">
        <v>195</v>
      </c>
      <c r="R75" t="s">
        <v>51</v>
      </c>
      <c r="S75" s="1">
        <v>60974</v>
      </c>
      <c r="T75" s="1">
        <v>60974</v>
      </c>
      <c r="U75">
        <v>0</v>
      </c>
      <c r="V75" s="1">
        <v>60911</v>
      </c>
      <c r="W75">
        <v>1.1499999999999999</v>
      </c>
      <c r="X75">
        <v>0.12</v>
      </c>
      <c r="Y75" s="12">
        <v>60974</v>
      </c>
      <c r="Z75" s="12">
        <v>2.9</v>
      </c>
      <c r="AA75" s="12">
        <v>6.3</v>
      </c>
      <c r="AB75" s="12">
        <v>7.4</v>
      </c>
      <c r="AC75" s="12">
        <v>17.5</v>
      </c>
      <c r="AD75" s="12">
        <v>7.5</v>
      </c>
      <c r="AE75">
        <v>5.43</v>
      </c>
      <c r="AH75">
        <v>0.17499999999999999</v>
      </c>
      <c r="AI75">
        <v>11.5</v>
      </c>
      <c r="AM75">
        <v>0.245</v>
      </c>
      <c r="AN75">
        <v>0.183</v>
      </c>
      <c r="AO75">
        <v>3.1949999999999998</v>
      </c>
    </row>
    <row r="76" spans="1:41" x14ac:dyDescent="0.2">
      <c r="A76">
        <v>2023</v>
      </c>
      <c r="B76">
        <v>101190</v>
      </c>
      <c r="C76">
        <v>2149</v>
      </c>
      <c r="D76" t="s">
        <v>394</v>
      </c>
      <c r="E76" t="s">
        <v>42</v>
      </c>
      <c r="F76">
        <v>311514</v>
      </c>
      <c r="G76" t="s">
        <v>306</v>
      </c>
      <c r="H76" t="s">
        <v>395</v>
      </c>
      <c r="I76" t="s">
        <v>396</v>
      </c>
      <c r="J76" t="s">
        <v>46</v>
      </c>
      <c r="K76">
        <v>95380</v>
      </c>
      <c r="L76">
        <v>37.49</v>
      </c>
      <c r="M76">
        <v>-120.887</v>
      </c>
      <c r="N76" t="s">
        <v>397</v>
      </c>
      <c r="O76" t="s">
        <v>335</v>
      </c>
      <c r="P76" t="s">
        <v>194</v>
      </c>
      <c r="Q76" t="s">
        <v>195</v>
      </c>
      <c r="R76" t="s">
        <v>51</v>
      </c>
      <c r="S76" s="1">
        <v>34356</v>
      </c>
      <c r="T76" s="1">
        <v>34356</v>
      </c>
      <c r="U76">
        <v>0</v>
      </c>
      <c r="V76" s="1">
        <v>34320</v>
      </c>
      <c r="W76">
        <v>0.65</v>
      </c>
      <c r="X76">
        <v>7.0000000000000007E-2</v>
      </c>
      <c r="Y76" s="12">
        <v>34356</v>
      </c>
      <c r="Z76" s="12">
        <v>1.1000000000000001</v>
      </c>
      <c r="AA76" s="12">
        <v>4</v>
      </c>
      <c r="AB76" s="12">
        <v>0.9</v>
      </c>
      <c r="AC76" s="12">
        <v>8.1999999999999993</v>
      </c>
      <c r="AD76" s="12">
        <v>3.6</v>
      </c>
      <c r="AE76">
        <v>3.59</v>
      </c>
      <c r="AH76">
        <v>0</v>
      </c>
      <c r="AI76">
        <v>7.61</v>
      </c>
      <c r="AM76">
        <v>0.16200000000000001</v>
      </c>
      <c r="AN76">
        <v>0.12</v>
      </c>
      <c r="AO76">
        <v>1.849</v>
      </c>
    </row>
    <row r="77" spans="1:41" x14ac:dyDescent="0.2">
      <c r="A77">
        <v>2023</v>
      </c>
      <c r="B77">
        <v>101192</v>
      </c>
      <c r="C77">
        <v>591</v>
      </c>
      <c r="D77" t="s">
        <v>398</v>
      </c>
      <c r="E77" t="s">
        <v>67</v>
      </c>
      <c r="F77">
        <v>928110</v>
      </c>
      <c r="G77" t="s">
        <v>399</v>
      </c>
      <c r="H77" t="s">
        <v>400</v>
      </c>
      <c r="I77" t="s">
        <v>401</v>
      </c>
      <c r="J77" t="s">
        <v>46</v>
      </c>
      <c r="K77">
        <v>92278</v>
      </c>
      <c r="L77">
        <v>34.237000000000002</v>
      </c>
      <c r="M77">
        <v>-116.054</v>
      </c>
      <c r="N77" t="s">
        <v>402</v>
      </c>
      <c r="O77" t="s">
        <v>57</v>
      </c>
      <c r="P77" t="s">
        <v>58</v>
      </c>
      <c r="Q77" t="s">
        <v>59</v>
      </c>
      <c r="R77" t="s">
        <v>75</v>
      </c>
      <c r="S77" s="1">
        <v>38114</v>
      </c>
      <c r="T77" s="1">
        <v>38114</v>
      </c>
      <c r="U77">
        <v>0</v>
      </c>
      <c r="V77" s="1">
        <v>38075</v>
      </c>
      <c r="W77">
        <v>0.72</v>
      </c>
      <c r="X77">
        <v>7.0000000000000007E-2</v>
      </c>
      <c r="Y77" s="12">
        <v>0</v>
      </c>
      <c r="Z77" s="12">
        <v>3.1</v>
      </c>
      <c r="AA77" s="12">
        <v>13.2</v>
      </c>
      <c r="AB77" s="12">
        <v>0.4</v>
      </c>
      <c r="AC77" s="12">
        <v>5.9</v>
      </c>
      <c r="AD77" s="12">
        <v>4.9000000000000004</v>
      </c>
      <c r="AE77">
        <v>81.400000000000006</v>
      </c>
      <c r="AF77">
        <v>24.5</v>
      </c>
      <c r="AG77">
        <v>1.7999999999999999E-2</v>
      </c>
      <c r="AH77" s="1">
        <v>4400</v>
      </c>
      <c r="AI77">
        <v>710</v>
      </c>
      <c r="AJ77">
        <v>693</v>
      </c>
      <c r="AK77">
        <v>165</v>
      </c>
      <c r="AL77">
        <v>9.8000000000000007</v>
      </c>
      <c r="AM77">
        <v>13.374000000000001</v>
      </c>
      <c r="AN77">
        <v>35.878999999999998</v>
      </c>
      <c r="AO77" s="2">
        <v>10703.936</v>
      </c>
    </row>
    <row r="78" spans="1:41" x14ac:dyDescent="0.2">
      <c r="A78">
        <v>2023</v>
      </c>
      <c r="B78">
        <v>101197</v>
      </c>
      <c r="C78">
        <v>7063</v>
      </c>
      <c r="D78" t="s">
        <v>403</v>
      </c>
      <c r="E78" t="s">
        <v>42</v>
      </c>
      <c r="F78">
        <v>311514</v>
      </c>
      <c r="G78" t="s">
        <v>306</v>
      </c>
      <c r="H78" t="s">
        <v>404</v>
      </c>
      <c r="I78" t="s">
        <v>405</v>
      </c>
      <c r="J78" t="s">
        <v>46</v>
      </c>
      <c r="K78">
        <v>93291</v>
      </c>
      <c r="L78">
        <v>36.344000000000001</v>
      </c>
      <c r="M78">
        <v>-119.392</v>
      </c>
      <c r="N78" t="s">
        <v>406</v>
      </c>
      <c r="O78" t="s">
        <v>392</v>
      </c>
      <c r="P78" t="s">
        <v>194</v>
      </c>
      <c r="Q78" t="s">
        <v>195</v>
      </c>
      <c r="R78" t="s">
        <v>51</v>
      </c>
      <c r="S78" s="1">
        <v>65728</v>
      </c>
      <c r="T78" s="1">
        <v>65728</v>
      </c>
      <c r="U78">
        <v>0</v>
      </c>
      <c r="V78" s="1">
        <v>65660</v>
      </c>
      <c r="W78">
        <v>1.24</v>
      </c>
      <c r="X78">
        <v>0.12</v>
      </c>
      <c r="Y78" s="12">
        <v>65728</v>
      </c>
      <c r="Z78" s="12">
        <v>3.2</v>
      </c>
      <c r="AA78" s="12">
        <v>5.0999999999999996</v>
      </c>
      <c r="AB78" s="12">
        <v>1.6</v>
      </c>
      <c r="AC78" s="12">
        <v>10</v>
      </c>
      <c r="AD78" s="12">
        <v>6</v>
      </c>
      <c r="AE78">
        <v>6.67</v>
      </c>
      <c r="AH78">
        <v>9.8000000000000004E-2</v>
      </c>
      <c r="AI78">
        <v>14.2</v>
      </c>
      <c r="AM78">
        <v>0.30199999999999999</v>
      </c>
      <c r="AN78">
        <v>0.224</v>
      </c>
      <c r="AO78">
        <v>6.5890000000000004</v>
      </c>
    </row>
    <row r="79" spans="1:41" x14ac:dyDescent="0.2">
      <c r="A79">
        <v>2023</v>
      </c>
      <c r="B79">
        <v>101205</v>
      </c>
      <c r="C79">
        <v>800026</v>
      </c>
      <c r="D79" t="s">
        <v>407</v>
      </c>
      <c r="E79" t="s">
        <v>111</v>
      </c>
      <c r="F79">
        <v>324110</v>
      </c>
      <c r="G79" t="s">
        <v>112</v>
      </c>
      <c r="H79" t="s">
        <v>408</v>
      </c>
      <c r="I79" t="s">
        <v>45</v>
      </c>
      <c r="J79" t="s">
        <v>46</v>
      </c>
      <c r="K79">
        <v>90744</v>
      </c>
      <c r="L79">
        <v>33.780999999999999</v>
      </c>
      <c r="M79">
        <v>-118.23</v>
      </c>
      <c r="N79" t="s">
        <v>47</v>
      </c>
      <c r="O79" t="s">
        <v>48</v>
      </c>
      <c r="P79" t="s">
        <v>49</v>
      </c>
      <c r="Q79" t="s">
        <v>50</v>
      </c>
      <c r="R79" t="s">
        <v>51</v>
      </c>
      <c r="S79" s="1">
        <v>1100385</v>
      </c>
      <c r="T79" s="1">
        <v>1100385</v>
      </c>
      <c r="U79">
        <v>0</v>
      </c>
      <c r="V79" s="1">
        <v>1095663</v>
      </c>
      <c r="W79">
        <v>86.66</v>
      </c>
      <c r="X79">
        <v>8.57</v>
      </c>
      <c r="Y79" s="12">
        <v>1100021</v>
      </c>
      <c r="Z79" s="12">
        <v>98.6</v>
      </c>
      <c r="AA79" s="12">
        <v>280.8</v>
      </c>
      <c r="AB79" s="12">
        <v>116.5</v>
      </c>
      <c r="AC79" s="12">
        <v>73.8</v>
      </c>
      <c r="AD79" s="12">
        <v>70.599999999999994</v>
      </c>
      <c r="AE79" s="1">
        <v>1327</v>
      </c>
      <c r="AF79">
        <v>140</v>
      </c>
      <c r="AG79">
        <v>2.65</v>
      </c>
      <c r="AH79">
        <v>215</v>
      </c>
      <c r="AI79" s="1">
        <v>4322</v>
      </c>
      <c r="AJ79">
        <v>671</v>
      </c>
      <c r="AK79" s="1">
        <v>5508</v>
      </c>
      <c r="AL79">
        <v>0</v>
      </c>
      <c r="AM79">
        <v>139.17599999999999</v>
      </c>
      <c r="AN79">
        <v>298.822</v>
      </c>
      <c r="AO79" s="2">
        <v>5330.0140000000001</v>
      </c>
    </row>
    <row r="80" spans="1:41" x14ac:dyDescent="0.2">
      <c r="A80">
        <v>2023</v>
      </c>
      <c r="B80">
        <v>101207</v>
      </c>
      <c r="C80">
        <v>38</v>
      </c>
      <c r="D80" t="s">
        <v>409</v>
      </c>
      <c r="E80" t="s">
        <v>42</v>
      </c>
      <c r="F80">
        <v>311421</v>
      </c>
      <c r="G80" t="s">
        <v>281</v>
      </c>
      <c r="H80" t="s">
        <v>410</v>
      </c>
      <c r="I80" t="s">
        <v>411</v>
      </c>
      <c r="J80" t="s">
        <v>46</v>
      </c>
      <c r="K80">
        <v>95776</v>
      </c>
      <c r="L80">
        <v>38.68</v>
      </c>
      <c r="M80">
        <v>-121.758</v>
      </c>
      <c r="N80" t="s">
        <v>412</v>
      </c>
      <c r="O80" t="s">
        <v>209</v>
      </c>
      <c r="P80" t="s">
        <v>210</v>
      </c>
      <c r="Q80" t="s">
        <v>74</v>
      </c>
      <c r="R80" t="s">
        <v>51</v>
      </c>
      <c r="S80" s="1">
        <v>41760</v>
      </c>
      <c r="T80" s="1">
        <v>41760</v>
      </c>
      <c r="U80">
        <v>0</v>
      </c>
      <c r="V80" s="1">
        <v>41717</v>
      </c>
      <c r="W80">
        <v>0.79</v>
      </c>
      <c r="X80">
        <v>0.08</v>
      </c>
      <c r="Y80" s="12">
        <v>41760</v>
      </c>
      <c r="Z80" s="12">
        <v>0.7</v>
      </c>
      <c r="AA80" s="12">
        <v>1.8</v>
      </c>
      <c r="AB80" s="12">
        <v>0.2</v>
      </c>
      <c r="AC80" s="12">
        <v>4.2</v>
      </c>
      <c r="AD80" s="12">
        <v>3.7</v>
      </c>
      <c r="AE80">
        <v>1.54</v>
      </c>
      <c r="AH80">
        <v>0</v>
      </c>
      <c r="AI80">
        <v>56.2</v>
      </c>
      <c r="AL80">
        <v>1.54</v>
      </c>
      <c r="AM80">
        <v>1.7</v>
      </c>
      <c r="AN80">
        <v>2.9380000000000002</v>
      </c>
      <c r="AO80">
        <v>32.743000000000002</v>
      </c>
    </row>
    <row r="81" spans="1:41" x14ac:dyDescent="0.2">
      <c r="A81">
        <v>2023</v>
      </c>
      <c r="B81">
        <v>101213</v>
      </c>
      <c r="C81">
        <v>1163</v>
      </c>
      <c r="D81" t="s">
        <v>413</v>
      </c>
      <c r="E81" t="s">
        <v>42</v>
      </c>
      <c r="F81">
        <v>311422</v>
      </c>
      <c r="G81" t="s">
        <v>414</v>
      </c>
      <c r="H81" t="s">
        <v>415</v>
      </c>
      <c r="I81" t="s">
        <v>416</v>
      </c>
      <c r="J81" t="s">
        <v>46</v>
      </c>
      <c r="K81">
        <v>93245</v>
      </c>
      <c r="L81">
        <v>36.277999999999999</v>
      </c>
      <c r="M81">
        <v>-119.801</v>
      </c>
      <c r="N81" t="s">
        <v>417</v>
      </c>
      <c r="O81" t="s">
        <v>418</v>
      </c>
      <c r="P81" t="s">
        <v>194</v>
      </c>
      <c r="Q81" t="s">
        <v>195</v>
      </c>
      <c r="R81" t="s">
        <v>51</v>
      </c>
      <c r="S81">
        <v>469</v>
      </c>
      <c r="T81">
        <v>469</v>
      </c>
      <c r="U81">
        <v>0</v>
      </c>
      <c r="V81">
        <v>468</v>
      </c>
      <c r="W81">
        <v>0.01</v>
      </c>
      <c r="X81">
        <v>0</v>
      </c>
      <c r="Y81" s="12">
        <v>469</v>
      </c>
      <c r="Z81" s="12">
        <v>0</v>
      </c>
      <c r="AA81" s="12">
        <v>0.1</v>
      </c>
      <c r="AB81" s="12">
        <v>0</v>
      </c>
      <c r="AC81" s="12">
        <v>0</v>
      </c>
      <c r="AD81" s="12">
        <v>0</v>
      </c>
      <c r="AE81">
        <v>0.05</v>
      </c>
      <c r="AI81">
        <v>0.106</v>
      </c>
      <c r="AM81">
        <v>2E-3</v>
      </c>
      <c r="AN81">
        <v>2E-3</v>
      </c>
      <c r="AO81">
        <v>2.5999999999999999E-2</v>
      </c>
    </row>
    <row r="82" spans="1:41" x14ac:dyDescent="0.2">
      <c r="A82">
        <v>2023</v>
      </c>
      <c r="B82">
        <v>101214</v>
      </c>
      <c r="C82">
        <v>366</v>
      </c>
      <c r="D82" t="s">
        <v>419</v>
      </c>
      <c r="E82" t="s">
        <v>42</v>
      </c>
      <c r="F82">
        <v>311421</v>
      </c>
      <c r="G82" t="s">
        <v>281</v>
      </c>
      <c r="H82" t="s">
        <v>420</v>
      </c>
      <c r="I82" t="s">
        <v>421</v>
      </c>
      <c r="J82" t="s">
        <v>46</v>
      </c>
      <c r="K82">
        <v>93230</v>
      </c>
      <c r="L82">
        <v>36.255000000000003</v>
      </c>
      <c r="M82">
        <v>-119.645</v>
      </c>
      <c r="N82" t="s">
        <v>422</v>
      </c>
      <c r="O82" t="s">
        <v>418</v>
      </c>
      <c r="P82" t="s">
        <v>194</v>
      </c>
      <c r="Q82" t="s">
        <v>195</v>
      </c>
      <c r="R82" t="s">
        <v>51</v>
      </c>
      <c r="S82" s="1">
        <v>28719</v>
      </c>
      <c r="T82" s="1">
        <v>28719</v>
      </c>
      <c r="U82">
        <v>0</v>
      </c>
      <c r="V82" s="1">
        <v>28689</v>
      </c>
      <c r="W82">
        <v>0.54</v>
      </c>
      <c r="X82">
        <v>0.05</v>
      </c>
      <c r="Y82" s="12">
        <v>28719</v>
      </c>
      <c r="Z82" s="12">
        <v>2.8</v>
      </c>
      <c r="AA82" s="12">
        <v>0.6</v>
      </c>
      <c r="AB82" s="12">
        <v>0.3</v>
      </c>
      <c r="AC82" s="12">
        <v>0.5</v>
      </c>
      <c r="AD82" s="12">
        <v>0.5</v>
      </c>
      <c r="AE82">
        <v>16.5</v>
      </c>
      <c r="AH82">
        <v>0.23200000000000001</v>
      </c>
      <c r="AI82">
        <v>0.65700000000000003</v>
      </c>
      <c r="AM82">
        <v>0.155</v>
      </c>
      <c r="AN82">
        <v>0.161</v>
      </c>
      <c r="AO82">
        <v>5.9580000000000002</v>
      </c>
    </row>
    <row r="83" spans="1:41" x14ac:dyDescent="0.2">
      <c r="A83">
        <v>2023</v>
      </c>
      <c r="B83">
        <v>101218</v>
      </c>
      <c r="C83">
        <v>800189</v>
      </c>
      <c r="D83" t="s">
        <v>423</v>
      </c>
      <c r="E83" t="s">
        <v>42</v>
      </c>
      <c r="F83">
        <v>713110</v>
      </c>
      <c r="G83" t="s">
        <v>424</v>
      </c>
      <c r="H83" t="s">
        <v>425</v>
      </c>
      <c r="I83" t="s">
        <v>426</v>
      </c>
      <c r="J83" t="s">
        <v>46</v>
      </c>
      <c r="K83">
        <v>92802</v>
      </c>
      <c r="L83">
        <v>33.811999999999998</v>
      </c>
      <c r="M83">
        <v>-117.92</v>
      </c>
      <c r="N83" t="s">
        <v>427</v>
      </c>
      <c r="O83" t="s">
        <v>167</v>
      </c>
      <c r="P83" t="s">
        <v>49</v>
      </c>
      <c r="Q83" t="s">
        <v>50</v>
      </c>
      <c r="R83" t="s">
        <v>75</v>
      </c>
      <c r="S83" s="1">
        <v>21412</v>
      </c>
      <c r="T83" s="1">
        <v>21393</v>
      </c>
      <c r="U83">
        <v>19</v>
      </c>
      <c r="V83" s="1">
        <v>21390</v>
      </c>
      <c r="W83">
        <v>0.41</v>
      </c>
      <c r="X83">
        <v>0.04</v>
      </c>
      <c r="Y83" s="12">
        <v>0</v>
      </c>
      <c r="Z83" s="12">
        <v>2.6</v>
      </c>
      <c r="AA83" s="12">
        <v>17.600000000000001</v>
      </c>
      <c r="AB83" s="12">
        <v>0.2</v>
      </c>
      <c r="AC83" s="12">
        <v>12.6</v>
      </c>
      <c r="AD83" s="12">
        <v>9.1999999999999993</v>
      </c>
      <c r="AE83">
        <v>428</v>
      </c>
      <c r="AF83">
        <v>173</v>
      </c>
      <c r="AG83">
        <v>0.10299999999999999</v>
      </c>
      <c r="AH83">
        <v>227</v>
      </c>
      <c r="AI83">
        <v>719</v>
      </c>
      <c r="AJ83">
        <v>28.7</v>
      </c>
      <c r="AL83">
        <v>0.84199999999999997</v>
      </c>
      <c r="AM83">
        <v>9.2720000000000002</v>
      </c>
      <c r="AN83">
        <v>15.135</v>
      </c>
      <c r="AO83" s="2">
        <v>1043.749</v>
      </c>
    </row>
    <row r="84" spans="1:41" x14ac:dyDescent="0.2">
      <c r="A84">
        <v>2023</v>
      </c>
      <c r="B84">
        <v>101226</v>
      </c>
      <c r="C84">
        <v>13</v>
      </c>
      <c r="D84" t="s">
        <v>428</v>
      </c>
      <c r="E84" t="s">
        <v>111</v>
      </c>
      <c r="F84">
        <v>324110</v>
      </c>
      <c r="G84" t="s">
        <v>112</v>
      </c>
      <c r="H84" t="s">
        <v>429</v>
      </c>
      <c r="I84" t="s">
        <v>430</v>
      </c>
      <c r="J84" t="s">
        <v>46</v>
      </c>
      <c r="K84">
        <v>93420</v>
      </c>
      <c r="L84">
        <v>35.046999999999997</v>
      </c>
      <c r="M84">
        <v>-120.592</v>
      </c>
      <c r="N84" t="s">
        <v>431</v>
      </c>
      <c r="O84" t="s">
        <v>432</v>
      </c>
      <c r="P84" t="s">
        <v>433</v>
      </c>
      <c r="Q84" t="s">
        <v>155</v>
      </c>
      <c r="R84" t="s">
        <v>51</v>
      </c>
      <c r="S84" s="1">
        <v>7347</v>
      </c>
      <c r="T84" s="1">
        <v>7347</v>
      </c>
      <c r="U84">
        <v>0</v>
      </c>
      <c r="V84" s="1">
        <v>7334</v>
      </c>
      <c r="W84">
        <v>0.19</v>
      </c>
      <c r="X84">
        <v>0.03</v>
      </c>
      <c r="Y84" s="12">
        <v>7336</v>
      </c>
      <c r="Z84" s="12">
        <v>28.9</v>
      </c>
      <c r="AA84" s="12">
        <v>5</v>
      </c>
      <c r="AB84" s="12">
        <v>5.5</v>
      </c>
      <c r="AC84" s="12">
        <v>1.1000000000000001</v>
      </c>
      <c r="AD84" s="12">
        <v>1.1000000000000001</v>
      </c>
      <c r="AE84">
        <v>0.76700000000000002</v>
      </c>
      <c r="AH84">
        <v>21.9</v>
      </c>
      <c r="AI84">
        <v>1.71</v>
      </c>
      <c r="AL84">
        <v>0.48699999999999999</v>
      </c>
      <c r="AM84">
        <v>0.51100000000000001</v>
      </c>
      <c r="AN84">
        <v>1.0189999999999999</v>
      </c>
      <c r="AO84">
        <v>62.192999999999998</v>
      </c>
    </row>
    <row r="85" spans="1:41" x14ac:dyDescent="0.2">
      <c r="A85">
        <v>2023</v>
      </c>
      <c r="B85">
        <v>101228</v>
      </c>
      <c r="C85">
        <v>91</v>
      </c>
      <c r="D85" t="s">
        <v>434</v>
      </c>
      <c r="E85" t="s">
        <v>67</v>
      </c>
      <c r="F85">
        <v>221117</v>
      </c>
      <c r="G85" t="s">
        <v>77</v>
      </c>
      <c r="H85" t="s">
        <v>435</v>
      </c>
      <c r="I85" t="s">
        <v>247</v>
      </c>
      <c r="J85" t="s">
        <v>46</v>
      </c>
      <c r="K85">
        <v>93308</v>
      </c>
      <c r="L85">
        <v>35.576000000000001</v>
      </c>
      <c r="M85">
        <v>-119.006</v>
      </c>
      <c r="N85" t="s">
        <v>436</v>
      </c>
      <c r="O85" t="s">
        <v>193</v>
      </c>
      <c r="P85" t="s">
        <v>194</v>
      </c>
      <c r="Q85" t="s">
        <v>195</v>
      </c>
      <c r="R85" t="s">
        <v>75</v>
      </c>
      <c r="S85" s="1">
        <v>248722</v>
      </c>
      <c r="T85" s="1">
        <v>7140</v>
      </c>
      <c r="U85" s="1">
        <v>241583</v>
      </c>
      <c r="V85" s="1">
        <v>244325</v>
      </c>
      <c r="W85">
        <v>68.599999999999994</v>
      </c>
      <c r="X85">
        <v>9</v>
      </c>
      <c r="Y85" s="12">
        <v>0</v>
      </c>
      <c r="Z85" s="12">
        <v>0</v>
      </c>
      <c r="AA85" s="12">
        <v>116.3</v>
      </c>
      <c r="AB85" s="12">
        <v>0.9</v>
      </c>
      <c r="AC85" s="12">
        <v>9.1999999999999993</v>
      </c>
      <c r="AD85" s="12">
        <v>8.6999999999999993</v>
      </c>
      <c r="AE85">
        <v>421</v>
      </c>
      <c r="AG85">
        <v>0.442</v>
      </c>
      <c r="AH85">
        <v>0.89100000000000001</v>
      </c>
      <c r="AI85" s="1">
        <v>3162</v>
      </c>
      <c r="AJ85">
        <v>0</v>
      </c>
      <c r="AL85">
        <v>1.0999999999999999E-2</v>
      </c>
      <c r="AM85">
        <v>14.771000000000001</v>
      </c>
      <c r="AN85">
        <v>244.416</v>
      </c>
      <c r="AO85" s="2">
        <v>2369.0729999999999</v>
      </c>
    </row>
    <row r="86" spans="1:41" x14ac:dyDescent="0.2">
      <c r="A86">
        <v>2023</v>
      </c>
      <c r="B86">
        <v>101231</v>
      </c>
      <c r="C86">
        <v>724</v>
      </c>
      <c r="D86" t="s">
        <v>437</v>
      </c>
      <c r="E86" t="s">
        <v>250</v>
      </c>
      <c r="F86">
        <v>211111</v>
      </c>
      <c r="G86" t="s">
        <v>256</v>
      </c>
      <c r="H86" t="s">
        <v>438</v>
      </c>
      <c r="I86" t="s">
        <v>247</v>
      </c>
      <c r="J86" t="s">
        <v>46</v>
      </c>
      <c r="K86">
        <v>93308</v>
      </c>
      <c r="L86">
        <v>35.44</v>
      </c>
      <c r="M86">
        <v>-119.01300000000001</v>
      </c>
      <c r="N86" t="s">
        <v>248</v>
      </c>
      <c r="O86" t="s">
        <v>193</v>
      </c>
      <c r="P86" t="s">
        <v>194</v>
      </c>
      <c r="Q86" t="s">
        <v>195</v>
      </c>
      <c r="R86" t="s">
        <v>51</v>
      </c>
      <c r="S86" s="1">
        <v>62586</v>
      </c>
      <c r="T86" s="1">
        <v>62586</v>
      </c>
      <c r="U86">
        <v>0</v>
      </c>
      <c r="V86" s="1">
        <v>62064</v>
      </c>
      <c r="W86">
        <v>19.61</v>
      </c>
      <c r="X86">
        <v>0.11</v>
      </c>
      <c r="Y86" s="12">
        <v>62475</v>
      </c>
      <c r="Z86" s="12">
        <v>0.3</v>
      </c>
      <c r="AA86" s="12">
        <v>5.8</v>
      </c>
      <c r="AB86" s="12">
        <v>0.1</v>
      </c>
      <c r="AC86" s="12">
        <v>0.4</v>
      </c>
      <c r="AD86" s="12">
        <v>0.4</v>
      </c>
      <c r="AE86">
        <v>0.41199999999999998</v>
      </c>
      <c r="AF86">
        <v>0.19500000000000001</v>
      </c>
      <c r="AH86">
        <v>0</v>
      </c>
      <c r="AI86">
        <v>9.06</v>
      </c>
      <c r="AM86">
        <v>21.338999999999999</v>
      </c>
      <c r="AN86">
        <v>1.2370000000000001</v>
      </c>
      <c r="AO86">
        <v>756.95</v>
      </c>
    </row>
    <row r="87" spans="1:41" x14ac:dyDescent="0.2">
      <c r="A87">
        <v>2023</v>
      </c>
      <c r="B87">
        <v>101235</v>
      </c>
      <c r="C87">
        <v>2076</v>
      </c>
      <c r="D87" t="s">
        <v>439</v>
      </c>
      <c r="E87" t="s">
        <v>42</v>
      </c>
      <c r="F87">
        <v>311919</v>
      </c>
      <c r="G87" t="s">
        <v>440</v>
      </c>
      <c r="H87" t="s">
        <v>441</v>
      </c>
      <c r="I87" t="s">
        <v>247</v>
      </c>
      <c r="J87" t="s">
        <v>46</v>
      </c>
      <c r="K87">
        <v>93314</v>
      </c>
      <c r="L87">
        <v>35.398000000000003</v>
      </c>
      <c r="M87">
        <v>-119.322</v>
      </c>
      <c r="N87" t="s">
        <v>442</v>
      </c>
      <c r="O87" t="s">
        <v>193</v>
      </c>
      <c r="P87" t="s">
        <v>194</v>
      </c>
      <c r="Q87" t="s">
        <v>195</v>
      </c>
      <c r="R87" t="s">
        <v>51</v>
      </c>
      <c r="S87" s="1">
        <v>32189</v>
      </c>
      <c r="T87" s="1">
        <v>32189</v>
      </c>
      <c r="U87">
        <v>0</v>
      </c>
      <c r="V87" s="1">
        <v>32156</v>
      </c>
      <c r="W87">
        <v>0.61</v>
      </c>
      <c r="X87">
        <v>0.06</v>
      </c>
      <c r="Y87" s="12">
        <v>32189</v>
      </c>
      <c r="Z87" s="12">
        <v>1</v>
      </c>
      <c r="AA87" s="12">
        <v>13.1</v>
      </c>
      <c r="AB87" s="12">
        <v>0.3</v>
      </c>
      <c r="AC87" s="12">
        <v>38.5</v>
      </c>
      <c r="AD87" s="12">
        <v>29.7</v>
      </c>
      <c r="AE87">
        <v>3.75</v>
      </c>
      <c r="AH87">
        <v>9.84</v>
      </c>
      <c r="AI87">
        <v>7.95</v>
      </c>
      <c r="AM87">
        <v>0.157</v>
      </c>
      <c r="AN87">
        <v>0.15</v>
      </c>
      <c r="AO87">
        <v>24.568000000000001</v>
      </c>
    </row>
    <row r="88" spans="1:41" x14ac:dyDescent="0.2">
      <c r="A88">
        <v>2023</v>
      </c>
      <c r="B88">
        <v>101237</v>
      </c>
      <c r="C88">
        <v>33</v>
      </c>
      <c r="D88" t="s">
        <v>443</v>
      </c>
      <c r="E88" t="s">
        <v>111</v>
      </c>
      <c r="F88">
        <v>324110</v>
      </c>
      <c r="G88" t="s">
        <v>112</v>
      </c>
      <c r="H88" t="s">
        <v>444</v>
      </c>
      <c r="I88" t="s">
        <v>247</v>
      </c>
      <c r="J88" t="s">
        <v>46</v>
      </c>
      <c r="K88">
        <v>93308</v>
      </c>
      <c r="L88">
        <v>35.381999999999998</v>
      </c>
      <c r="M88">
        <v>-119.071</v>
      </c>
      <c r="N88" t="s">
        <v>445</v>
      </c>
      <c r="O88" t="s">
        <v>193</v>
      </c>
      <c r="P88" t="s">
        <v>194</v>
      </c>
      <c r="Q88" t="s">
        <v>195</v>
      </c>
      <c r="R88" t="s">
        <v>75</v>
      </c>
      <c r="S88" s="1">
        <v>14693</v>
      </c>
      <c r="T88" s="1">
        <v>14693</v>
      </c>
      <c r="U88">
        <v>0</v>
      </c>
      <c r="V88" s="1">
        <v>14678</v>
      </c>
      <c r="W88">
        <v>0.28000000000000003</v>
      </c>
      <c r="X88">
        <v>0.03</v>
      </c>
      <c r="Y88" s="12">
        <v>0</v>
      </c>
      <c r="Z88" s="12">
        <v>10.199999999999999</v>
      </c>
      <c r="AA88" s="12">
        <v>5.3</v>
      </c>
      <c r="AB88" s="12">
        <v>0.1</v>
      </c>
      <c r="AC88" s="12">
        <v>2.5</v>
      </c>
      <c r="AD88" s="12">
        <v>2.5</v>
      </c>
      <c r="AE88">
        <v>40.5</v>
      </c>
      <c r="AH88">
        <v>15.6</v>
      </c>
      <c r="AI88">
        <v>94.3</v>
      </c>
      <c r="AK88">
        <v>57.7</v>
      </c>
      <c r="AM88">
        <v>0.877</v>
      </c>
      <c r="AN88">
        <v>0.64700000000000002</v>
      </c>
      <c r="AO88">
        <v>56.442999999999998</v>
      </c>
    </row>
    <row r="89" spans="1:41" x14ac:dyDescent="0.2">
      <c r="A89">
        <v>2023</v>
      </c>
      <c r="B89">
        <v>101239</v>
      </c>
      <c r="C89">
        <v>36</v>
      </c>
      <c r="D89" t="s">
        <v>446</v>
      </c>
      <c r="E89" t="s">
        <v>111</v>
      </c>
      <c r="F89">
        <v>324110</v>
      </c>
      <c r="G89" t="s">
        <v>112</v>
      </c>
      <c r="H89" t="s">
        <v>447</v>
      </c>
      <c r="I89" t="s">
        <v>247</v>
      </c>
      <c r="J89" t="s">
        <v>46</v>
      </c>
      <c r="K89">
        <v>93308</v>
      </c>
      <c r="L89">
        <v>35.396999999999998</v>
      </c>
      <c r="M89">
        <v>-119.048</v>
      </c>
      <c r="N89" t="s">
        <v>445</v>
      </c>
      <c r="O89" t="s">
        <v>193</v>
      </c>
      <c r="P89" t="s">
        <v>194</v>
      </c>
      <c r="Q89" t="s">
        <v>195</v>
      </c>
      <c r="R89" t="s">
        <v>51</v>
      </c>
      <c r="S89" s="1">
        <v>86956</v>
      </c>
      <c r="T89" s="1">
        <v>86956</v>
      </c>
      <c r="U89">
        <v>0</v>
      </c>
      <c r="V89" s="1">
        <v>86410</v>
      </c>
      <c r="W89">
        <v>19.02</v>
      </c>
      <c r="X89">
        <v>0.24</v>
      </c>
      <c r="Y89" s="12">
        <v>86523</v>
      </c>
      <c r="Z89" s="12">
        <v>61.5</v>
      </c>
      <c r="AA89" s="12">
        <v>16.100000000000001</v>
      </c>
      <c r="AB89" s="12">
        <v>0.4</v>
      </c>
      <c r="AC89" s="12">
        <v>4.2</v>
      </c>
      <c r="AD89" s="12">
        <v>4.2</v>
      </c>
      <c r="AE89">
        <v>244</v>
      </c>
      <c r="AF89">
        <v>1.2E-2</v>
      </c>
      <c r="AH89">
        <v>4.0199999999999996</v>
      </c>
      <c r="AI89">
        <v>58.6</v>
      </c>
      <c r="AM89">
        <v>2.02</v>
      </c>
      <c r="AN89">
        <v>1.9710000000000001</v>
      </c>
      <c r="AO89">
        <v>101.52800000000001</v>
      </c>
    </row>
    <row r="90" spans="1:41" x14ac:dyDescent="0.2">
      <c r="A90">
        <v>2023</v>
      </c>
      <c r="B90">
        <v>101241</v>
      </c>
      <c r="C90">
        <v>10</v>
      </c>
      <c r="D90" t="s">
        <v>448</v>
      </c>
      <c r="E90" t="s">
        <v>42</v>
      </c>
      <c r="F90">
        <v>311313</v>
      </c>
      <c r="G90" t="s">
        <v>449</v>
      </c>
      <c r="H90" t="s">
        <v>450</v>
      </c>
      <c r="I90" t="s">
        <v>451</v>
      </c>
      <c r="J90" t="s">
        <v>46</v>
      </c>
      <c r="K90">
        <v>92227</v>
      </c>
      <c r="L90">
        <v>32.912999999999997</v>
      </c>
      <c r="M90">
        <v>-115.57</v>
      </c>
      <c r="N90" t="s">
        <v>452</v>
      </c>
      <c r="O90" t="s">
        <v>453</v>
      </c>
      <c r="P90" t="s">
        <v>454</v>
      </c>
      <c r="Q90" t="s">
        <v>455</v>
      </c>
      <c r="R90" t="s">
        <v>51</v>
      </c>
      <c r="S90" s="1">
        <v>65986</v>
      </c>
      <c r="T90" s="1">
        <v>65976</v>
      </c>
      <c r="U90">
        <v>10</v>
      </c>
      <c r="V90" s="1">
        <v>65891</v>
      </c>
      <c r="W90">
        <v>1.58</v>
      </c>
      <c r="X90">
        <v>0.19</v>
      </c>
      <c r="Y90" s="12">
        <v>56710</v>
      </c>
      <c r="Z90" s="12">
        <v>19.5</v>
      </c>
      <c r="AA90" s="12">
        <v>22.8</v>
      </c>
      <c r="AB90" s="12">
        <v>0.1</v>
      </c>
      <c r="AC90" s="12">
        <v>19.5</v>
      </c>
      <c r="AD90" s="12">
        <v>18.600000000000001</v>
      </c>
    </row>
    <row r="91" spans="1:41" x14ac:dyDescent="0.2">
      <c r="A91">
        <v>2023</v>
      </c>
      <c r="B91">
        <v>101243</v>
      </c>
      <c r="C91">
        <v>44</v>
      </c>
      <c r="D91" t="s">
        <v>456</v>
      </c>
      <c r="E91" t="s">
        <v>42</v>
      </c>
      <c r="F91">
        <v>212399</v>
      </c>
      <c r="G91" t="s">
        <v>457</v>
      </c>
      <c r="H91" t="s">
        <v>458</v>
      </c>
      <c r="I91" t="s">
        <v>70</v>
      </c>
      <c r="J91" t="s">
        <v>46</v>
      </c>
      <c r="K91">
        <v>96013</v>
      </c>
      <c r="L91">
        <v>41.030999999999999</v>
      </c>
      <c r="M91">
        <v>-121.682</v>
      </c>
      <c r="N91" t="s">
        <v>71</v>
      </c>
      <c r="O91" t="s">
        <v>72</v>
      </c>
      <c r="P91" t="s">
        <v>73</v>
      </c>
      <c r="Q91" t="s">
        <v>74</v>
      </c>
      <c r="R91" t="s">
        <v>51</v>
      </c>
      <c r="S91" s="1">
        <v>28297</v>
      </c>
      <c r="T91" s="1">
        <v>28297</v>
      </c>
      <c r="U91">
        <v>0</v>
      </c>
      <c r="V91" s="1">
        <v>28201</v>
      </c>
      <c r="W91">
        <v>1.1299999999999999</v>
      </c>
      <c r="X91">
        <v>0.23</v>
      </c>
      <c r="Y91" s="12">
        <v>27980</v>
      </c>
      <c r="Z91" s="12">
        <v>4.3</v>
      </c>
      <c r="AA91" s="12">
        <v>10.7</v>
      </c>
      <c r="AB91" s="12">
        <v>0.3</v>
      </c>
      <c r="AC91" s="12">
        <v>11.1</v>
      </c>
      <c r="AD91" s="12">
        <v>1.7</v>
      </c>
    </row>
    <row r="92" spans="1:41" x14ac:dyDescent="0.2">
      <c r="A92">
        <v>2023</v>
      </c>
      <c r="B92">
        <v>101246</v>
      </c>
      <c r="C92">
        <v>800436</v>
      </c>
      <c r="D92" t="s">
        <v>459</v>
      </c>
      <c r="E92" t="s">
        <v>111</v>
      </c>
      <c r="F92">
        <v>324110</v>
      </c>
      <c r="G92" t="s">
        <v>112</v>
      </c>
      <c r="H92" t="s">
        <v>460</v>
      </c>
      <c r="I92" t="s">
        <v>176</v>
      </c>
      <c r="J92" t="s">
        <v>46</v>
      </c>
      <c r="K92">
        <v>90810</v>
      </c>
      <c r="L92">
        <v>33.823999999999998</v>
      </c>
      <c r="M92">
        <v>-118.233</v>
      </c>
      <c r="N92" t="s">
        <v>266</v>
      </c>
      <c r="O92" t="s">
        <v>48</v>
      </c>
      <c r="P92" t="s">
        <v>49</v>
      </c>
      <c r="Q92" t="s">
        <v>50</v>
      </c>
      <c r="R92" t="s">
        <v>51</v>
      </c>
      <c r="S92" s="1">
        <v>6131915</v>
      </c>
      <c r="T92" s="1">
        <v>6131915</v>
      </c>
      <c r="U92">
        <v>0</v>
      </c>
      <c r="V92" s="1">
        <v>6114736</v>
      </c>
      <c r="W92">
        <v>277.11</v>
      </c>
      <c r="X92">
        <v>34.4</v>
      </c>
      <c r="Y92" s="12">
        <v>6130525</v>
      </c>
      <c r="Z92" s="12">
        <v>898.5</v>
      </c>
      <c r="AA92" s="12">
        <v>1052.7</v>
      </c>
      <c r="AB92" s="12">
        <v>591.79999999999995</v>
      </c>
      <c r="AC92" s="12">
        <v>417.1</v>
      </c>
      <c r="AD92" s="12">
        <v>351.2</v>
      </c>
      <c r="AE92" s="2">
        <v>3013.3</v>
      </c>
      <c r="AF92">
        <v>118.63</v>
      </c>
      <c r="AG92">
        <v>2.4900000000000002</v>
      </c>
      <c r="AH92">
        <v>612.29999999999995</v>
      </c>
      <c r="AI92" s="1">
        <v>12831</v>
      </c>
      <c r="AJ92" s="1">
        <v>34502</v>
      </c>
      <c r="AK92" s="1">
        <v>6460</v>
      </c>
      <c r="AL92">
        <v>103.48</v>
      </c>
      <c r="AM92">
        <v>610.17999999999995</v>
      </c>
      <c r="AN92" s="2">
        <v>1162.1610000000001</v>
      </c>
      <c r="AO92" s="2">
        <v>10153.419</v>
      </c>
    </row>
    <row r="93" spans="1:41" x14ac:dyDescent="0.2">
      <c r="A93">
        <v>2023</v>
      </c>
      <c r="B93">
        <v>101248</v>
      </c>
      <c r="C93">
        <v>3417</v>
      </c>
      <c r="D93" t="s">
        <v>461</v>
      </c>
      <c r="E93" t="s">
        <v>92</v>
      </c>
      <c r="F93">
        <v>325120</v>
      </c>
      <c r="G93" t="s">
        <v>93</v>
      </c>
      <c r="H93" t="s">
        <v>462</v>
      </c>
      <c r="I93" t="s">
        <v>176</v>
      </c>
      <c r="J93" t="s">
        <v>46</v>
      </c>
      <c r="K93">
        <v>90810</v>
      </c>
      <c r="L93">
        <v>33.813000000000002</v>
      </c>
      <c r="M93">
        <v>-118.233</v>
      </c>
      <c r="N93" t="s">
        <v>266</v>
      </c>
      <c r="O93" t="s">
        <v>48</v>
      </c>
      <c r="P93" t="s">
        <v>49</v>
      </c>
      <c r="Q93" t="s">
        <v>50</v>
      </c>
      <c r="R93" t="s">
        <v>51</v>
      </c>
      <c r="S93" s="1">
        <v>655513</v>
      </c>
      <c r="T93" s="1">
        <v>655513</v>
      </c>
      <c r="U93">
        <v>0</v>
      </c>
      <c r="V93" s="1">
        <v>655310</v>
      </c>
      <c r="W93">
        <v>2.0099999999999998</v>
      </c>
      <c r="X93">
        <v>0.51</v>
      </c>
      <c r="Y93" s="12">
        <v>655513</v>
      </c>
      <c r="Z93" s="12">
        <v>8.9</v>
      </c>
      <c r="AA93" s="12">
        <v>15.2</v>
      </c>
      <c r="AB93" s="12">
        <v>0.2</v>
      </c>
      <c r="AC93" s="12">
        <v>11</v>
      </c>
      <c r="AD93" s="12">
        <v>9.9</v>
      </c>
      <c r="AE93">
        <v>33.799999999999997</v>
      </c>
      <c r="AI93">
        <v>73.099999999999994</v>
      </c>
      <c r="AM93">
        <v>0.75800000000000001</v>
      </c>
      <c r="AN93">
        <v>0.81499999999999995</v>
      </c>
      <c r="AO93">
        <v>29.265000000000001</v>
      </c>
    </row>
    <row r="94" spans="1:41" x14ac:dyDescent="0.2">
      <c r="A94">
        <v>2023</v>
      </c>
      <c r="B94">
        <v>101250</v>
      </c>
      <c r="C94">
        <v>15</v>
      </c>
      <c r="D94" t="s">
        <v>463</v>
      </c>
      <c r="E94" t="s">
        <v>42</v>
      </c>
      <c r="F94">
        <v>321113</v>
      </c>
      <c r="G94" t="s">
        <v>85</v>
      </c>
      <c r="H94" t="s">
        <v>464</v>
      </c>
      <c r="I94" t="s">
        <v>465</v>
      </c>
      <c r="J94" t="s">
        <v>46</v>
      </c>
      <c r="K94">
        <v>96020</v>
      </c>
      <c r="L94">
        <v>40.302999999999997</v>
      </c>
      <c r="M94">
        <v>-121.24299999999999</v>
      </c>
      <c r="N94" t="s">
        <v>466</v>
      </c>
      <c r="O94" t="s">
        <v>467</v>
      </c>
      <c r="P94" t="s">
        <v>468</v>
      </c>
      <c r="Q94" t="s">
        <v>469</v>
      </c>
      <c r="R94" t="s">
        <v>75</v>
      </c>
      <c r="S94" s="1">
        <v>61591</v>
      </c>
      <c r="T94">
        <v>687</v>
      </c>
      <c r="U94" s="1">
        <v>60904</v>
      </c>
      <c r="V94" s="1">
        <v>60904</v>
      </c>
      <c r="W94">
        <v>10.72</v>
      </c>
      <c r="X94">
        <v>1.41</v>
      </c>
      <c r="Y94" s="12">
        <v>0</v>
      </c>
      <c r="Z94" s="12">
        <v>2.8</v>
      </c>
      <c r="AA94" s="12">
        <v>45.4</v>
      </c>
      <c r="AB94" s="12">
        <v>1.2</v>
      </c>
      <c r="AC94" s="12">
        <v>8.6999999999999993</v>
      </c>
      <c r="AD94" s="12">
        <v>7.7</v>
      </c>
      <c r="AO94">
        <v>4.2999999999999997E-2</v>
      </c>
    </row>
    <row r="95" spans="1:41" x14ac:dyDescent="0.2">
      <c r="A95">
        <v>2023</v>
      </c>
      <c r="B95">
        <v>101260</v>
      </c>
      <c r="C95">
        <v>3721</v>
      </c>
      <c r="D95" t="s">
        <v>470</v>
      </c>
      <c r="E95" t="s">
        <v>42</v>
      </c>
      <c r="F95">
        <v>326140</v>
      </c>
      <c r="G95" t="s">
        <v>471</v>
      </c>
      <c r="H95" t="s">
        <v>472</v>
      </c>
      <c r="I95" t="s">
        <v>473</v>
      </c>
      <c r="J95" t="s">
        <v>46</v>
      </c>
      <c r="K95">
        <v>92880</v>
      </c>
      <c r="L95">
        <v>33.884999999999998</v>
      </c>
      <c r="M95">
        <v>-117.602</v>
      </c>
      <c r="N95" t="s">
        <v>474</v>
      </c>
      <c r="O95" t="s">
        <v>475</v>
      </c>
      <c r="P95" t="s">
        <v>49</v>
      </c>
      <c r="Q95" t="s">
        <v>50</v>
      </c>
      <c r="R95" t="s">
        <v>75</v>
      </c>
      <c r="S95" s="1">
        <v>14139</v>
      </c>
      <c r="T95" s="1">
        <v>14139</v>
      </c>
      <c r="U95">
        <v>0</v>
      </c>
      <c r="V95" s="1">
        <v>14125</v>
      </c>
      <c r="W95">
        <v>0.27</v>
      </c>
      <c r="X95">
        <v>0.03</v>
      </c>
      <c r="Y95" s="12">
        <v>0</v>
      </c>
      <c r="Z95" s="12">
        <v>114.8</v>
      </c>
      <c r="AA95" s="12">
        <v>1.6</v>
      </c>
      <c r="AB95" s="12">
        <v>0.1</v>
      </c>
      <c r="AC95" s="12">
        <v>1.4</v>
      </c>
      <c r="AD95" s="12">
        <v>1.4</v>
      </c>
      <c r="AE95">
        <v>1.51</v>
      </c>
      <c r="AF95">
        <v>1.0999999999999999E-2</v>
      </c>
      <c r="AG95">
        <v>0</v>
      </c>
      <c r="AH95">
        <v>1.67</v>
      </c>
      <c r="AI95">
        <v>3.27</v>
      </c>
      <c r="AJ95">
        <v>8.9999999999999993E-3</v>
      </c>
      <c r="AL95">
        <v>0</v>
      </c>
      <c r="AM95">
        <v>0.22500000000000001</v>
      </c>
      <c r="AN95">
        <v>0.30599999999999999</v>
      </c>
      <c r="AO95">
        <v>4.7050000000000001</v>
      </c>
    </row>
    <row r="96" spans="1:41" x14ac:dyDescent="0.2">
      <c r="A96">
        <v>2023</v>
      </c>
      <c r="B96">
        <v>101263</v>
      </c>
      <c r="C96">
        <v>8664</v>
      </c>
      <c r="D96" t="s">
        <v>476</v>
      </c>
      <c r="E96" t="s">
        <v>67</v>
      </c>
      <c r="F96">
        <v>221112</v>
      </c>
      <c r="G96" t="s">
        <v>96</v>
      </c>
      <c r="H96" t="s">
        <v>477</v>
      </c>
      <c r="I96" t="s">
        <v>478</v>
      </c>
      <c r="J96" t="s">
        <v>46</v>
      </c>
      <c r="K96">
        <v>94525</v>
      </c>
      <c r="L96">
        <v>38.057000000000002</v>
      </c>
      <c r="M96">
        <v>-122.214</v>
      </c>
      <c r="N96" t="s">
        <v>479</v>
      </c>
      <c r="O96" t="s">
        <v>173</v>
      </c>
      <c r="P96" t="s">
        <v>108</v>
      </c>
      <c r="Q96" t="s">
        <v>109</v>
      </c>
      <c r="R96" t="s">
        <v>51</v>
      </c>
      <c r="S96" s="1">
        <v>694734</v>
      </c>
      <c r="T96" s="1">
        <v>694734</v>
      </c>
      <c r="U96">
        <v>0</v>
      </c>
      <c r="V96" s="1">
        <v>694017</v>
      </c>
      <c r="W96">
        <v>13.09</v>
      </c>
      <c r="X96">
        <v>1.31</v>
      </c>
      <c r="Y96" s="12">
        <v>694734</v>
      </c>
      <c r="Z96" s="12">
        <v>13.1</v>
      </c>
      <c r="AA96" s="12">
        <v>90.7</v>
      </c>
      <c r="AB96" s="12">
        <v>5</v>
      </c>
      <c r="AC96" s="12">
        <v>11.3</v>
      </c>
      <c r="AD96" s="12">
        <v>11.3</v>
      </c>
      <c r="AE96">
        <v>32.299999999999997</v>
      </c>
      <c r="AF96">
        <v>0.33600000000000002</v>
      </c>
      <c r="AG96">
        <v>0.20399999999999999</v>
      </c>
      <c r="AI96">
        <v>360</v>
      </c>
      <c r="AL96">
        <v>3.31</v>
      </c>
      <c r="AM96">
        <v>17.728000000000002</v>
      </c>
      <c r="AN96">
        <v>28.652000000000001</v>
      </c>
      <c r="AO96">
        <v>398.70600000000002</v>
      </c>
    </row>
    <row r="97" spans="1:41" x14ac:dyDescent="0.2">
      <c r="A97">
        <v>2023</v>
      </c>
      <c r="B97">
        <v>101271</v>
      </c>
      <c r="C97">
        <v>21</v>
      </c>
      <c r="D97" t="s">
        <v>480</v>
      </c>
      <c r="E97" t="s">
        <v>42</v>
      </c>
      <c r="F97">
        <v>327420</v>
      </c>
      <c r="G97" t="s">
        <v>481</v>
      </c>
      <c r="H97" t="s">
        <v>482</v>
      </c>
      <c r="I97" t="s">
        <v>483</v>
      </c>
      <c r="J97" t="s">
        <v>46</v>
      </c>
      <c r="K97">
        <v>92243</v>
      </c>
      <c r="L97">
        <v>32.792000000000002</v>
      </c>
      <c r="M97">
        <v>-115.864</v>
      </c>
      <c r="N97" t="s">
        <v>484</v>
      </c>
      <c r="O97" t="s">
        <v>453</v>
      </c>
      <c r="P97" t="s">
        <v>454</v>
      </c>
      <c r="Q97" t="s">
        <v>455</v>
      </c>
      <c r="R97" t="s">
        <v>51</v>
      </c>
      <c r="S97" s="1">
        <v>63883</v>
      </c>
      <c r="T97" s="1">
        <v>63883</v>
      </c>
      <c r="U97">
        <v>0</v>
      </c>
      <c r="V97" s="1">
        <v>63817</v>
      </c>
      <c r="W97">
        <v>1.2</v>
      </c>
      <c r="X97">
        <v>0.12</v>
      </c>
      <c r="Y97" s="12">
        <v>63883</v>
      </c>
      <c r="Z97" s="12">
        <v>10.3</v>
      </c>
      <c r="AA97" s="12">
        <v>28.2</v>
      </c>
      <c r="AB97" s="12">
        <v>0.1</v>
      </c>
      <c r="AC97" s="12">
        <v>56.2</v>
      </c>
      <c r="AD97" s="12">
        <v>31.7</v>
      </c>
      <c r="AH97">
        <v>5.15</v>
      </c>
      <c r="AI97" s="1">
        <v>54359</v>
      </c>
      <c r="AM97">
        <v>169</v>
      </c>
      <c r="AN97">
        <v>103.018</v>
      </c>
      <c r="AO97" s="2">
        <v>2522.9</v>
      </c>
    </row>
    <row r="98" spans="1:41" x14ac:dyDescent="0.2">
      <c r="A98">
        <v>2023</v>
      </c>
      <c r="B98">
        <v>101280</v>
      </c>
      <c r="C98">
        <v>29110</v>
      </c>
      <c r="D98" t="s">
        <v>485</v>
      </c>
      <c r="E98" t="s">
        <v>42</v>
      </c>
      <c r="F98">
        <v>221320</v>
      </c>
      <c r="G98" t="s">
        <v>122</v>
      </c>
      <c r="H98" t="s">
        <v>486</v>
      </c>
      <c r="I98" t="s">
        <v>487</v>
      </c>
      <c r="J98" t="s">
        <v>46</v>
      </c>
      <c r="K98">
        <v>92646</v>
      </c>
      <c r="L98">
        <v>33.64</v>
      </c>
      <c r="M98">
        <v>-117.959</v>
      </c>
      <c r="N98" t="s">
        <v>488</v>
      </c>
      <c r="O98" t="s">
        <v>167</v>
      </c>
      <c r="P98" t="s">
        <v>49</v>
      </c>
      <c r="Q98" t="s">
        <v>50</v>
      </c>
      <c r="R98" t="s">
        <v>75</v>
      </c>
      <c r="S98" s="1">
        <v>35128</v>
      </c>
      <c r="T98" s="1">
        <v>8008</v>
      </c>
      <c r="U98" s="1">
        <v>27121</v>
      </c>
      <c r="V98" s="1">
        <v>34981</v>
      </c>
      <c r="W98">
        <v>1.81</v>
      </c>
      <c r="X98">
        <v>0.34</v>
      </c>
      <c r="Y98" s="12">
        <v>0</v>
      </c>
      <c r="Z98" s="12">
        <v>10.6</v>
      </c>
      <c r="AA98" s="12">
        <v>12.8</v>
      </c>
      <c r="AB98" s="12">
        <v>0</v>
      </c>
      <c r="AC98" s="12">
        <v>0.9</v>
      </c>
      <c r="AD98" s="12">
        <v>0.9</v>
      </c>
      <c r="AE98">
        <v>12.6</v>
      </c>
      <c r="AF98">
        <v>46.8</v>
      </c>
      <c r="AG98">
        <v>2E-3</v>
      </c>
      <c r="AH98">
        <v>519</v>
      </c>
      <c r="AI98" s="1">
        <v>1571</v>
      </c>
      <c r="AJ98">
        <v>2.89</v>
      </c>
      <c r="AK98" s="1">
        <v>3809</v>
      </c>
      <c r="AL98">
        <v>1.06</v>
      </c>
      <c r="AM98">
        <v>23.95</v>
      </c>
      <c r="AN98">
        <v>16.442</v>
      </c>
      <c r="AO98" s="2">
        <v>1409.739</v>
      </c>
    </row>
    <row r="99" spans="1:41" x14ac:dyDescent="0.2">
      <c r="A99">
        <v>2023</v>
      </c>
      <c r="B99">
        <v>101284</v>
      </c>
      <c r="C99">
        <v>20330</v>
      </c>
      <c r="D99" t="s">
        <v>489</v>
      </c>
      <c r="E99" t="s">
        <v>42</v>
      </c>
      <c r="F99">
        <v>311423</v>
      </c>
      <c r="G99" t="s">
        <v>490</v>
      </c>
      <c r="H99" t="s">
        <v>491</v>
      </c>
      <c r="I99" t="s">
        <v>492</v>
      </c>
      <c r="J99" t="s">
        <v>46</v>
      </c>
      <c r="K99">
        <v>95020</v>
      </c>
      <c r="L99">
        <v>37.003</v>
      </c>
      <c r="M99">
        <v>-121.539</v>
      </c>
      <c r="N99" t="s">
        <v>493</v>
      </c>
      <c r="O99" t="s">
        <v>107</v>
      </c>
      <c r="P99" t="s">
        <v>108</v>
      </c>
      <c r="Q99" t="s">
        <v>109</v>
      </c>
      <c r="R99" t="s">
        <v>51</v>
      </c>
      <c r="S99" s="1">
        <v>55274</v>
      </c>
      <c r="T99" s="1">
        <v>55274</v>
      </c>
      <c r="U99">
        <v>0</v>
      </c>
      <c r="V99" s="1">
        <v>55216</v>
      </c>
      <c r="W99">
        <v>1.04</v>
      </c>
      <c r="X99">
        <v>0.1</v>
      </c>
      <c r="Y99" s="12">
        <v>55274</v>
      </c>
      <c r="Z99" s="12">
        <v>2.2000000000000002</v>
      </c>
      <c r="AA99" s="12">
        <v>52.5</v>
      </c>
      <c r="AB99" s="12">
        <v>0.2</v>
      </c>
      <c r="AC99" s="12">
        <v>2.1</v>
      </c>
      <c r="AD99" s="12">
        <v>1.7</v>
      </c>
      <c r="AE99">
        <v>4.78</v>
      </c>
      <c r="AG99">
        <v>0</v>
      </c>
      <c r="AH99">
        <v>5.3999999999999999E-2</v>
      </c>
      <c r="AI99">
        <v>56.2</v>
      </c>
      <c r="AL99">
        <v>0</v>
      </c>
      <c r="AM99">
        <v>0.20499999999999999</v>
      </c>
      <c r="AN99">
        <v>0.13500000000000001</v>
      </c>
      <c r="AO99">
        <v>3.7959999999999998</v>
      </c>
    </row>
    <row r="100" spans="1:41" x14ac:dyDescent="0.2">
      <c r="A100">
        <v>2023</v>
      </c>
      <c r="B100">
        <v>101288</v>
      </c>
      <c r="C100">
        <v>1275</v>
      </c>
      <c r="D100" t="s">
        <v>494</v>
      </c>
      <c r="E100" t="s">
        <v>42</v>
      </c>
      <c r="F100">
        <v>311513</v>
      </c>
      <c r="G100" t="s">
        <v>390</v>
      </c>
      <c r="H100" t="s">
        <v>495</v>
      </c>
      <c r="I100" t="s">
        <v>496</v>
      </c>
      <c r="J100" t="s">
        <v>46</v>
      </c>
      <c r="K100">
        <v>95324</v>
      </c>
      <c r="L100">
        <v>37.252000000000002</v>
      </c>
      <c r="M100">
        <v>-120.511</v>
      </c>
      <c r="N100" t="s">
        <v>497</v>
      </c>
      <c r="O100" t="s">
        <v>320</v>
      </c>
      <c r="P100" t="s">
        <v>194</v>
      </c>
      <c r="Q100" t="s">
        <v>195</v>
      </c>
      <c r="R100" t="s">
        <v>51</v>
      </c>
      <c r="S100" s="1">
        <v>76264</v>
      </c>
      <c r="T100" s="1">
        <v>71853</v>
      </c>
      <c r="U100" s="1">
        <v>4411</v>
      </c>
      <c r="V100" s="1">
        <v>76168</v>
      </c>
      <c r="W100">
        <v>1.62</v>
      </c>
      <c r="X100">
        <v>0.19</v>
      </c>
      <c r="Y100" s="12">
        <v>71853</v>
      </c>
      <c r="Z100" s="12">
        <v>3.6</v>
      </c>
      <c r="AA100" s="12">
        <v>7.3</v>
      </c>
      <c r="AB100" s="12">
        <v>2.2000000000000002</v>
      </c>
      <c r="AC100" s="12">
        <v>9.1</v>
      </c>
      <c r="AD100" s="12">
        <v>6.6</v>
      </c>
      <c r="AE100">
        <v>21</v>
      </c>
      <c r="AF100">
        <v>0.10299999999999999</v>
      </c>
      <c r="AH100">
        <v>4.8499999999999996</v>
      </c>
      <c r="AI100">
        <v>104</v>
      </c>
      <c r="AK100" s="1">
        <v>1227</v>
      </c>
      <c r="AM100">
        <v>5.859</v>
      </c>
      <c r="AN100">
        <v>2.9089999999999998</v>
      </c>
      <c r="AO100">
        <v>61.753999999999998</v>
      </c>
    </row>
    <row r="101" spans="1:41" x14ac:dyDescent="0.2">
      <c r="A101">
        <v>2023</v>
      </c>
      <c r="B101">
        <v>101290</v>
      </c>
      <c r="C101">
        <v>535</v>
      </c>
      <c r="D101" t="s">
        <v>498</v>
      </c>
      <c r="E101" t="s">
        <v>250</v>
      </c>
      <c r="F101">
        <v>221210</v>
      </c>
      <c r="G101" t="s">
        <v>341</v>
      </c>
      <c r="H101" t="s">
        <v>499</v>
      </c>
      <c r="I101" t="s">
        <v>500</v>
      </c>
      <c r="J101" t="s">
        <v>46</v>
      </c>
      <c r="K101">
        <v>92347</v>
      </c>
      <c r="L101">
        <v>34.902999999999999</v>
      </c>
      <c r="M101">
        <v>-117.158</v>
      </c>
      <c r="N101" t="s">
        <v>501</v>
      </c>
      <c r="O101" t="s">
        <v>57</v>
      </c>
      <c r="P101" t="s">
        <v>58</v>
      </c>
      <c r="Q101" t="s">
        <v>59</v>
      </c>
      <c r="R101" t="s">
        <v>51</v>
      </c>
      <c r="S101" s="1">
        <v>59912</v>
      </c>
      <c r="T101" s="1">
        <v>59912</v>
      </c>
      <c r="U101">
        <v>0</v>
      </c>
      <c r="V101" s="1">
        <v>55784</v>
      </c>
      <c r="W101">
        <v>163.84</v>
      </c>
      <c r="X101">
        <v>0.11</v>
      </c>
      <c r="Y101" s="12">
        <v>55838</v>
      </c>
      <c r="Z101" s="12">
        <v>13</v>
      </c>
      <c r="AA101" s="12">
        <v>126.8</v>
      </c>
      <c r="AB101" s="12">
        <v>0.3</v>
      </c>
      <c r="AC101" s="12">
        <v>24.5</v>
      </c>
      <c r="AD101" s="12">
        <v>23.9</v>
      </c>
      <c r="AE101" s="1">
        <v>2109</v>
      </c>
      <c r="AF101">
        <v>833</v>
      </c>
      <c r="AH101">
        <v>0.72299999999999998</v>
      </c>
      <c r="AI101" s="1">
        <v>42442</v>
      </c>
      <c r="AM101">
        <v>326.28500000000003</v>
      </c>
      <c r="AN101">
        <v>230.077</v>
      </c>
      <c r="AO101" s="2">
        <v>3894.3780000000002</v>
      </c>
    </row>
    <row r="102" spans="1:41" x14ac:dyDescent="0.2">
      <c r="A102">
        <v>2023</v>
      </c>
      <c r="B102">
        <v>101296</v>
      </c>
      <c r="C102">
        <v>800288</v>
      </c>
      <c r="D102" t="s">
        <v>502</v>
      </c>
      <c r="E102" t="s">
        <v>42</v>
      </c>
      <c r="F102">
        <v>611310</v>
      </c>
      <c r="G102" t="s">
        <v>103</v>
      </c>
      <c r="H102" t="s">
        <v>503</v>
      </c>
      <c r="I102" t="s">
        <v>243</v>
      </c>
      <c r="J102" t="s">
        <v>46</v>
      </c>
      <c r="K102">
        <v>92697</v>
      </c>
      <c r="L102">
        <v>33.639000000000003</v>
      </c>
      <c r="M102">
        <v>-117.85</v>
      </c>
      <c r="N102" t="s">
        <v>504</v>
      </c>
      <c r="O102" t="s">
        <v>167</v>
      </c>
      <c r="P102" t="s">
        <v>49</v>
      </c>
      <c r="Q102" t="s">
        <v>50</v>
      </c>
      <c r="R102" t="s">
        <v>51</v>
      </c>
      <c r="S102" s="1">
        <v>63863</v>
      </c>
      <c r="T102" s="1">
        <v>63863</v>
      </c>
      <c r="U102">
        <v>0</v>
      </c>
      <c r="V102" s="1">
        <v>63797</v>
      </c>
      <c r="W102">
        <v>1.2</v>
      </c>
      <c r="X102">
        <v>0.12</v>
      </c>
      <c r="Y102" s="12">
        <v>63858</v>
      </c>
      <c r="Z102" s="12">
        <v>1.1000000000000001</v>
      </c>
      <c r="AA102" s="12">
        <v>8.4</v>
      </c>
      <c r="AB102" s="12">
        <v>1.1000000000000001</v>
      </c>
      <c r="AC102" s="12">
        <v>8.9</v>
      </c>
      <c r="AD102" s="12">
        <v>7</v>
      </c>
      <c r="AE102">
        <v>18.3</v>
      </c>
      <c r="AF102">
        <v>3.78</v>
      </c>
      <c r="AG102">
        <v>2E-3</v>
      </c>
      <c r="AH102">
        <v>516</v>
      </c>
      <c r="AI102">
        <v>726</v>
      </c>
      <c r="AJ102">
        <v>3.53</v>
      </c>
      <c r="AL102">
        <v>6.0999999999999999E-2</v>
      </c>
      <c r="AM102">
        <v>3.0379999999999998</v>
      </c>
      <c r="AN102">
        <v>3.95</v>
      </c>
      <c r="AO102" s="2">
        <v>1258.498</v>
      </c>
    </row>
    <row r="103" spans="1:41" x14ac:dyDescent="0.2">
      <c r="A103">
        <v>2023</v>
      </c>
      <c r="B103">
        <v>101297</v>
      </c>
      <c r="D103" t="s">
        <v>505</v>
      </c>
      <c r="E103" t="s">
        <v>42</v>
      </c>
      <c r="F103">
        <v>312120</v>
      </c>
      <c r="G103" t="s">
        <v>286</v>
      </c>
      <c r="H103" t="s">
        <v>506</v>
      </c>
      <c r="I103" t="s">
        <v>507</v>
      </c>
      <c r="J103" t="s">
        <v>46</v>
      </c>
      <c r="K103">
        <v>91706</v>
      </c>
      <c r="L103">
        <v>34.125999999999998</v>
      </c>
      <c r="M103">
        <v>-117.93899999999999</v>
      </c>
      <c r="N103" t="s">
        <v>508</v>
      </c>
      <c r="O103" t="s">
        <v>48</v>
      </c>
      <c r="P103" t="s">
        <v>49</v>
      </c>
      <c r="Q103" t="s">
        <v>50</v>
      </c>
      <c r="R103" t="s">
        <v>75</v>
      </c>
      <c r="S103" s="1">
        <v>3314</v>
      </c>
      <c r="T103" s="1">
        <v>3314</v>
      </c>
      <c r="U103">
        <v>0</v>
      </c>
      <c r="V103" s="1">
        <v>3311</v>
      </c>
      <c r="W103">
        <v>0.06</v>
      </c>
      <c r="X103">
        <v>0.01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</row>
    <row r="104" spans="1:41" x14ac:dyDescent="0.2">
      <c r="A104">
        <v>2023</v>
      </c>
      <c r="B104">
        <v>101305</v>
      </c>
      <c r="C104">
        <v>517</v>
      </c>
      <c r="D104" t="s">
        <v>509</v>
      </c>
      <c r="E104" t="s">
        <v>42</v>
      </c>
      <c r="F104">
        <v>611310</v>
      </c>
      <c r="G104" t="s">
        <v>103</v>
      </c>
      <c r="H104" t="s">
        <v>510</v>
      </c>
      <c r="I104" t="s">
        <v>511</v>
      </c>
      <c r="J104" t="s">
        <v>46</v>
      </c>
      <c r="K104">
        <v>92093</v>
      </c>
      <c r="L104">
        <v>32.875</v>
      </c>
      <c r="M104">
        <v>-117.24</v>
      </c>
      <c r="N104" t="s">
        <v>512</v>
      </c>
      <c r="O104" t="s">
        <v>126</v>
      </c>
      <c r="P104" t="s">
        <v>127</v>
      </c>
      <c r="Q104" t="s">
        <v>126</v>
      </c>
      <c r="R104" t="s">
        <v>51</v>
      </c>
      <c r="S104" s="1">
        <v>161567</v>
      </c>
      <c r="T104" s="1">
        <v>161567</v>
      </c>
      <c r="U104">
        <v>0</v>
      </c>
      <c r="V104" s="1">
        <v>161400</v>
      </c>
      <c r="W104">
        <v>3.04</v>
      </c>
      <c r="X104">
        <v>0.3</v>
      </c>
      <c r="Y104" s="12">
        <v>161567</v>
      </c>
      <c r="Z104" s="12">
        <v>1.7</v>
      </c>
      <c r="AA104" s="12">
        <v>6.4</v>
      </c>
      <c r="AB104" s="12">
        <v>0.8</v>
      </c>
      <c r="AC104" s="12">
        <v>8.6999999999999993</v>
      </c>
      <c r="AD104" s="12">
        <v>8.6999999999999993</v>
      </c>
      <c r="AE104">
        <v>31.7</v>
      </c>
      <c r="AF104">
        <v>1.97</v>
      </c>
      <c r="AG104">
        <v>4.0000000000000001E-3</v>
      </c>
      <c r="AH104">
        <v>61.5</v>
      </c>
      <c r="AI104" s="1">
        <v>1790</v>
      </c>
      <c r="AJ104">
        <v>16.2</v>
      </c>
      <c r="AL104">
        <v>2.7E-2</v>
      </c>
      <c r="AM104">
        <v>7.0259999999999998</v>
      </c>
      <c r="AN104">
        <v>4.8630000000000004</v>
      </c>
      <c r="AO104">
        <v>290.995</v>
      </c>
    </row>
    <row r="105" spans="1:41" x14ac:dyDescent="0.2">
      <c r="A105">
        <v>2023</v>
      </c>
      <c r="B105">
        <v>101314</v>
      </c>
      <c r="C105">
        <v>21</v>
      </c>
      <c r="D105" t="s">
        <v>513</v>
      </c>
      <c r="E105" t="s">
        <v>61</v>
      </c>
      <c r="F105">
        <v>327310</v>
      </c>
      <c r="G105" t="s">
        <v>62</v>
      </c>
      <c r="H105" t="s">
        <v>514</v>
      </c>
      <c r="I105" t="s">
        <v>515</v>
      </c>
      <c r="J105" t="s">
        <v>46</v>
      </c>
      <c r="K105">
        <v>93243</v>
      </c>
      <c r="L105">
        <v>34.82</v>
      </c>
      <c r="M105">
        <v>-118.75</v>
      </c>
      <c r="N105" t="s">
        <v>339</v>
      </c>
      <c r="O105" t="s">
        <v>193</v>
      </c>
      <c r="P105" t="s">
        <v>200</v>
      </c>
      <c r="Q105" t="s">
        <v>59</v>
      </c>
      <c r="R105" t="s">
        <v>51</v>
      </c>
      <c r="S105" s="1">
        <v>810153</v>
      </c>
      <c r="T105" s="1">
        <v>686044</v>
      </c>
      <c r="U105" s="1">
        <v>124109</v>
      </c>
      <c r="V105" s="1">
        <v>805889</v>
      </c>
      <c r="W105">
        <v>65.19</v>
      </c>
      <c r="X105">
        <v>8.84</v>
      </c>
      <c r="Y105" s="12">
        <v>686044</v>
      </c>
      <c r="Z105" s="12">
        <v>34.299999999999997</v>
      </c>
      <c r="AA105" s="12">
        <v>697</v>
      </c>
      <c r="AB105" s="12">
        <v>12.2</v>
      </c>
      <c r="AC105" s="12">
        <v>210.8</v>
      </c>
      <c r="AD105" s="12">
        <v>183</v>
      </c>
      <c r="AE105" s="1">
        <v>1587</v>
      </c>
      <c r="AG105">
        <v>0.91800000000000004</v>
      </c>
      <c r="AH105" s="1">
        <v>1418</v>
      </c>
      <c r="AI105" s="1">
        <v>5754</v>
      </c>
      <c r="AJ105">
        <v>178</v>
      </c>
      <c r="AL105">
        <v>28.7</v>
      </c>
      <c r="AM105">
        <v>110.908</v>
      </c>
      <c r="AN105">
        <v>226.02600000000001</v>
      </c>
      <c r="AO105" s="2">
        <v>6229.6419999999998</v>
      </c>
    </row>
    <row r="106" spans="1:41" x14ac:dyDescent="0.2">
      <c r="A106">
        <v>2023</v>
      </c>
      <c r="B106">
        <v>101315</v>
      </c>
      <c r="C106">
        <v>1657</v>
      </c>
      <c r="D106" t="s">
        <v>516</v>
      </c>
      <c r="E106" t="s">
        <v>42</v>
      </c>
      <c r="F106">
        <v>311423</v>
      </c>
      <c r="G106" t="s">
        <v>490</v>
      </c>
      <c r="H106" t="s">
        <v>517</v>
      </c>
      <c r="I106" t="s">
        <v>518</v>
      </c>
      <c r="J106" t="s">
        <v>46</v>
      </c>
      <c r="K106">
        <v>95334</v>
      </c>
      <c r="L106">
        <v>37.393000000000001</v>
      </c>
      <c r="M106">
        <v>-120.66500000000001</v>
      </c>
      <c r="N106" t="s">
        <v>519</v>
      </c>
      <c r="O106" t="s">
        <v>320</v>
      </c>
      <c r="P106" t="s">
        <v>194</v>
      </c>
      <c r="Q106" t="s">
        <v>195</v>
      </c>
      <c r="R106" t="s">
        <v>51</v>
      </c>
      <c r="S106" s="1">
        <v>53255</v>
      </c>
      <c r="T106" s="1">
        <v>53255</v>
      </c>
      <c r="U106">
        <v>0</v>
      </c>
      <c r="V106" s="1">
        <v>53200</v>
      </c>
      <c r="W106">
        <v>1</v>
      </c>
      <c r="X106">
        <v>0.1</v>
      </c>
      <c r="Y106" s="12">
        <v>53255</v>
      </c>
      <c r="Z106" s="12">
        <v>2.2000000000000002</v>
      </c>
      <c r="AA106" s="12">
        <v>42.7</v>
      </c>
      <c r="AB106" s="12">
        <v>1.2</v>
      </c>
      <c r="AC106" s="12">
        <v>5</v>
      </c>
      <c r="AD106" s="12">
        <v>3.4</v>
      </c>
      <c r="AE106">
        <v>4.83</v>
      </c>
      <c r="AH106">
        <v>13.2</v>
      </c>
      <c r="AI106">
        <v>10.3</v>
      </c>
      <c r="AM106">
        <v>0.216</v>
      </c>
      <c r="AN106">
        <v>0.20599999999999999</v>
      </c>
      <c r="AO106">
        <v>32.978999999999999</v>
      </c>
    </row>
    <row r="107" spans="1:41" x14ac:dyDescent="0.2">
      <c r="A107">
        <v>2023</v>
      </c>
      <c r="B107">
        <v>101318</v>
      </c>
      <c r="C107">
        <v>12</v>
      </c>
      <c r="D107" t="s">
        <v>520</v>
      </c>
      <c r="E107" t="s">
        <v>42</v>
      </c>
      <c r="F107">
        <v>212399</v>
      </c>
      <c r="G107" t="s">
        <v>457</v>
      </c>
      <c r="H107" t="s">
        <v>521</v>
      </c>
      <c r="I107" t="s">
        <v>522</v>
      </c>
      <c r="J107" t="s">
        <v>46</v>
      </c>
      <c r="K107">
        <v>93436</v>
      </c>
      <c r="L107">
        <v>34.600999999999999</v>
      </c>
      <c r="M107">
        <v>-120.45399999999999</v>
      </c>
      <c r="N107" t="s">
        <v>523</v>
      </c>
      <c r="O107" t="s">
        <v>524</v>
      </c>
      <c r="P107" t="s">
        <v>525</v>
      </c>
      <c r="Q107" t="s">
        <v>155</v>
      </c>
      <c r="R107" t="s">
        <v>51</v>
      </c>
      <c r="S107" s="1">
        <v>31165</v>
      </c>
      <c r="T107" s="1">
        <v>31165</v>
      </c>
      <c r="U107">
        <v>0</v>
      </c>
      <c r="V107" s="1">
        <v>31132</v>
      </c>
      <c r="W107">
        <v>0.6</v>
      </c>
      <c r="X107">
        <v>0.06</v>
      </c>
      <c r="Y107" s="12">
        <v>30745</v>
      </c>
      <c r="Z107" s="12">
        <v>1.3</v>
      </c>
      <c r="AA107" s="12">
        <v>19.2</v>
      </c>
      <c r="AB107" s="12">
        <v>1.7</v>
      </c>
      <c r="AC107" s="12">
        <v>22.9</v>
      </c>
      <c r="AD107" s="12">
        <v>3.9</v>
      </c>
      <c r="AE107">
        <v>0.91</v>
      </c>
      <c r="AG107">
        <v>3.5000000000000003E-2</v>
      </c>
      <c r="AH107">
        <v>19.399999999999999</v>
      </c>
      <c r="AI107">
        <v>3.61</v>
      </c>
      <c r="AL107">
        <v>18.399999999999999</v>
      </c>
      <c r="AM107">
        <v>17.440999999999999</v>
      </c>
      <c r="AN107">
        <v>30.332000000000001</v>
      </c>
      <c r="AO107">
        <v>208.958</v>
      </c>
    </row>
    <row r="108" spans="1:41" x14ac:dyDescent="0.2">
      <c r="A108">
        <v>2023</v>
      </c>
      <c r="B108">
        <v>101323</v>
      </c>
      <c r="C108">
        <v>800335</v>
      </c>
      <c r="D108" t="s">
        <v>526</v>
      </c>
      <c r="E108" t="s">
        <v>42</v>
      </c>
      <c r="F108">
        <v>488119</v>
      </c>
      <c r="G108" t="s">
        <v>527</v>
      </c>
      <c r="H108" t="s">
        <v>528</v>
      </c>
      <c r="I108" t="s">
        <v>48</v>
      </c>
      <c r="J108" t="s">
        <v>46</v>
      </c>
      <c r="K108">
        <v>90045</v>
      </c>
      <c r="L108">
        <v>33.944000000000003</v>
      </c>
      <c r="M108">
        <v>-118.405</v>
      </c>
      <c r="N108" t="s">
        <v>529</v>
      </c>
      <c r="O108" t="s">
        <v>48</v>
      </c>
      <c r="P108" t="s">
        <v>49</v>
      </c>
      <c r="Q108" t="s">
        <v>50</v>
      </c>
      <c r="R108" t="s">
        <v>51</v>
      </c>
      <c r="S108" s="1">
        <v>30959</v>
      </c>
      <c r="T108" s="1">
        <v>30959</v>
      </c>
      <c r="U108">
        <v>0</v>
      </c>
      <c r="V108" s="1">
        <v>30927</v>
      </c>
      <c r="W108">
        <v>0.57999999999999996</v>
      </c>
      <c r="X108">
        <v>0.06</v>
      </c>
      <c r="Y108" s="12">
        <v>30959</v>
      </c>
      <c r="Z108" s="12">
        <v>9.3000000000000007</v>
      </c>
      <c r="AA108" s="12">
        <v>14.7</v>
      </c>
      <c r="AB108" s="12">
        <v>0.2</v>
      </c>
      <c r="AC108" s="12">
        <v>3.8</v>
      </c>
      <c r="AD108" s="12">
        <v>3.6</v>
      </c>
      <c r="AE108">
        <v>33.6</v>
      </c>
      <c r="AF108">
        <v>22.5</v>
      </c>
      <c r="AG108">
        <v>8.9999999999999993E-3</v>
      </c>
      <c r="AH108" s="1">
        <v>3150</v>
      </c>
      <c r="AI108">
        <v>551</v>
      </c>
      <c r="AJ108">
        <v>17.600000000000001</v>
      </c>
      <c r="AL108">
        <v>0.373</v>
      </c>
      <c r="AM108">
        <v>3.5089999999999999</v>
      </c>
      <c r="AN108">
        <v>14.323</v>
      </c>
      <c r="AO108" s="2">
        <v>7397.0150000000003</v>
      </c>
    </row>
    <row r="109" spans="1:41" x14ac:dyDescent="0.2">
      <c r="A109">
        <v>2023</v>
      </c>
      <c r="B109">
        <v>101331</v>
      </c>
      <c r="C109">
        <v>14628</v>
      </c>
      <c r="D109" t="s">
        <v>530</v>
      </c>
      <c r="E109" t="s">
        <v>111</v>
      </c>
      <c r="F109">
        <v>325199</v>
      </c>
      <c r="G109" t="s">
        <v>354</v>
      </c>
      <c r="H109" t="s">
        <v>531</v>
      </c>
      <c r="I109" t="s">
        <v>171</v>
      </c>
      <c r="J109" t="s">
        <v>46</v>
      </c>
      <c r="K109">
        <v>94553</v>
      </c>
      <c r="L109">
        <v>38.03</v>
      </c>
      <c r="M109">
        <v>-122.074</v>
      </c>
      <c r="N109" t="s">
        <v>172</v>
      </c>
      <c r="O109" t="s">
        <v>173</v>
      </c>
      <c r="P109" t="s">
        <v>108</v>
      </c>
      <c r="Q109" t="s">
        <v>109</v>
      </c>
      <c r="R109" t="s">
        <v>51</v>
      </c>
      <c r="S109" s="1">
        <v>765312</v>
      </c>
      <c r="T109" s="1">
        <v>735703</v>
      </c>
      <c r="U109" s="1">
        <v>29609</v>
      </c>
      <c r="V109" s="1">
        <v>763240</v>
      </c>
      <c r="W109">
        <v>55.72</v>
      </c>
      <c r="X109">
        <v>2.2799999999999998</v>
      </c>
      <c r="Y109" s="12">
        <v>765255</v>
      </c>
      <c r="Z109" s="12">
        <v>103</v>
      </c>
      <c r="AA109" s="12">
        <v>108.3</v>
      </c>
      <c r="AB109" s="12">
        <v>6.8</v>
      </c>
      <c r="AC109" s="12">
        <v>63.5</v>
      </c>
      <c r="AD109" s="12">
        <v>63.5</v>
      </c>
      <c r="AE109" s="1">
        <v>1211</v>
      </c>
      <c r="AF109">
        <v>334</v>
      </c>
      <c r="AG109">
        <v>0.90500000000000003</v>
      </c>
      <c r="AH109">
        <v>8.7100000000000009</v>
      </c>
      <c r="AI109" s="1">
        <v>2148</v>
      </c>
      <c r="AJ109" s="1">
        <v>3590</v>
      </c>
      <c r="AK109" s="1">
        <v>1175</v>
      </c>
      <c r="AL109">
        <v>21.5</v>
      </c>
      <c r="AM109">
        <v>47.662999999999997</v>
      </c>
      <c r="AN109">
        <v>76.777000000000001</v>
      </c>
      <c r="AO109" s="2">
        <v>2821.6750000000002</v>
      </c>
    </row>
    <row r="110" spans="1:41" x14ac:dyDescent="0.2">
      <c r="A110">
        <v>2023</v>
      </c>
      <c r="B110">
        <v>101342</v>
      </c>
      <c r="C110">
        <v>801</v>
      </c>
      <c r="D110" t="s">
        <v>532</v>
      </c>
      <c r="E110" t="s">
        <v>42</v>
      </c>
      <c r="F110">
        <v>327213</v>
      </c>
      <c r="G110" t="s">
        <v>384</v>
      </c>
      <c r="H110" t="s">
        <v>533</v>
      </c>
      <c r="I110" t="s">
        <v>279</v>
      </c>
      <c r="J110" t="s">
        <v>46</v>
      </c>
      <c r="K110">
        <v>93637</v>
      </c>
      <c r="L110">
        <v>36.923999999999999</v>
      </c>
      <c r="M110">
        <v>-120.10299999999999</v>
      </c>
      <c r="N110" t="s">
        <v>534</v>
      </c>
      <c r="O110" t="s">
        <v>279</v>
      </c>
      <c r="P110" t="s">
        <v>194</v>
      </c>
      <c r="Q110" t="s">
        <v>195</v>
      </c>
      <c r="R110" t="s">
        <v>51</v>
      </c>
      <c r="S110" s="1">
        <v>71288</v>
      </c>
      <c r="T110" s="1">
        <v>71288</v>
      </c>
      <c r="U110">
        <v>0</v>
      </c>
      <c r="V110" s="1">
        <v>71235</v>
      </c>
      <c r="W110">
        <v>0.97</v>
      </c>
      <c r="X110">
        <v>0.1</v>
      </c>
      <c r="Y110" s="12">
        <v>71288</v>
      </c>
      <c r="Z110" s="12">
        <v>4.0999999999999996</v>
      </c>
      <c r="AA110" s="12">
        <v>105</v>
      </c>
      <c r="AB110" s="12">
        <v>67</v>
      </c>
      <c r="AC110" s="12">
        <v>13.2</v>
      </c>
      <c r="AD110" s="12">
        <v>12.4</v>
      </c>
      <c r="AE110">
        <v>1.33</v>
      </c>
      <c r="AH110">
        <v>181</v>
      </c>
      <c r="AI110">
        <v>2.82</v>
      </c>
      <c r="AM110">
        <v>5.0999999999999997E-2</v>
      </c>
      <c r="AN110">
        <v>0.65600000000000003</v>
      </c>
      <c r="AO110">
        <v>417.63799999999998</v>
      </c>
    </row>
    <row r="111" spans="1:41" x14ac:dyDescent="0.2">
      <c r="A111">
        <v>2023</v>
      </c>
      <c r="B111">
        <v>101346</v>
      </c>
      <c r="C111">
        <v>68</v>
      </c>
      <c r="D111" t="s">
        <v>535</v>
      </c>
      <c r="E111" t="s">
        <v>250</v>
      </c>
      <c r="F111">
        <v>486210</v>
      </c>
      <c r="G111" t="s">
        <v>270</v>
      </c>
      <c r="H111" t="s">
        <v>536</v>
      </c>
      <c r="I111" t="s">
        <v>343</v>
      </c>
      <c r="J111" t="s">
        <v>46</v>
      </c>
      <c r="K111">
        <v>92363</v>
      </c>
      <c r="L111">
        <v>34.692999999999998</v>
      </c>
      <c r="M111">
        <v>-114.61199999999999</v>
      </c>
      <c r="N111" t="s">
        <v>344</v>
      </c>
      <c r="O111" t="s">
        <v>57</v>
      </c>
      <c r="P111" t="s">
        <v>58</v>
      </c>
      <c r="Q111" t="s">
        <v>59</v>
      </c>
      <c r="R111" t="s">
        <v>75</v>
      </c>
      <c r="S111" s="1">
        <v>17799</v>
      </c>
      <c r="T111" s="1">
        <v>17799</v>
      </c>
      <c r="U111">
        <v>0</v>
      </c>
      <c r="V111" s="1">
        <v>17781</v>
      </c>
      <c r="W111">
        <v>0.34</v>
      </c>
      <c r="X111">
        <v>0.03</v>
      </c>
      <c r="Y111" s="12">
        <v>0</v>
      </c>
      <c r="Z111" s="12">
        <v>4.7</v>
      </c>
      <c r="AA111" s="12">
        <v>65.3</v>
      </c>
      <c r="AB111" s="12">
        <v>0.1</v>
      </c>
      <c r="AC111" s="12">
        <v>7.3</v>
      </c>
      <c r="AD111" s="12">
        <v>7.3</v>
      </c>
      <c r="AE111">
        <v>559</v>
      </c>
      <c r="AF111">
        <v>240</v>
      </c>
      <c r="AG111">
        <v>0</v>
      </c>
      <c r="AH111">
        <v>7.65</v>
      </c>
      <c r="AI111" s="1">
        <v>5880</v>
      </c>
      <c r="AJ111">
        <v>0.03</v>
      </c>
      <c r="AL111">
        <v>1E-3</v>
      </c>
      <c r="AM111">
        <v>22.734000000000002</v>
      </c>
      <c r="AN111">
        <v>16.823</v>
      </c>
      <c r="AO111">
        <v>784.52599999999995</v>
      </c>
    </row>
    <row r="112" spans="1:41" x14ac:dyDescent="0.2">
      <c r="A112">
        <v>2023</v>
      </c>
      <c r="B112">
        <v>101348</v>
      </c>
      <c r="C112">
        <v>65</v>
      </c>
      <c r="D112" t="s">
        <v>537</v>
      </c>
      <c r="E112" t="s">
        <v>250</v>
      </c>
      <c r="F112">
        <v>486210</v>
      </c>
      <c r="G112" t="s">
        <v>270</v>
      </c>
      <c r="H112" t="s">
        <v>538</v>
      </c>
      <c r="I112" t="s">
        <v>539</v>
      </c>
      <c r="J112" t="s">
        <v>46</v>
      </c>
      <c r="K112">
        <v>92365</v>
      </c>
      <c r="L112">
        <v>34.780999999999999</v>
      </c>
      <c r="M112">
        <v>-116.59399999999999</v>
      </c>
      <c r="N112" t="s">
        <v>540</v>
      </c>
      <c r="O112" t="s">
        <v>57</v>
      </c>
      <c r="P112" t="s">
        <v>58</v>
      </c>
      <c r="Q112" t="s">
        <v>59</v>
      </c>
      <c r="R112" t="s">
        <v>75</v>
      </c>
      <c r="S112" s="1">
        <v>18286</v>
      </c>
      <c r="T112" s="1">
        <v>18286</v>
      </c>
      <c r="U112">
        <v>0</v>
      </c>
      <c r="V112" s="1">
        <v>18267</v>
      </c>
      <c r="W112">
        <v>0.34</v>
      </c>
      <c r="X112">
        <v>0.03</v>
      </c>
      <c r="Y112" s="12">
        <v>0</v>
      </c>
      <c r="Z112" s="12">
        <v>7.7</v>
      </c>
      <c r="AA112" s="12">
        <v>42.9</v>
      </c>
      <c r="AB112" s="12">
        <v>0.1</v>
      </c>
      <c r="AC112" s="12">
        <v>7.5</v>
      </c>
      <c r="AD112" s="12">
        <v>7.5</v>
      </c>
      <c r="AE112">
        <v>92</v>
      </c>
      <c r="AF112">
        <v>2.7E-2</v>
      </c>
      <c r="AI112" s="1">
        <v>1609</v>
      </c>
      <c r="AL112">
        <v>3.0000000000000001E-3</v>
      </c>
      <c r="AM112">
        <v>5.5990000000000002</v>
      </c>
      <c r="AN112">
        <v>3.5939999999999999</v>
      </c>
      <c r="AO112">
        <v>95.566000000000003</v>
      </c>
    </row>
    <row r="113" spans="1:41" x14ac:dyDescent="0.2">
      <c r="A113">
        <v>2023</v>
      </c>
      <c r="B113">
        <v>101349</v>
      </c>
      <c r="C113">
        <v>800128</v>
      </c>
      <c r="D113" t="s">
        <v>541</v>
      </c>
      <c r="E113" t="s">
        <v>250</v>
      </c>
      <c r="F113">
        <v>486210</v>
      </c>
      <c r="G113" t="s">
        <v>270</v>
      </c>
      <c r="H113" t="s">
        <v>542</v>
      </c>
      <c r="I113" t="s">
        <v>543</v>
      </c>
      <c r="J113" t="s">
        <v>46</v>
      </c>
      <c r="K113">
        <v>91326</v>
      </c>
      <c r="L113">
        <v>34.308</v>
      </c>
      <c r="M113">
        <v>-118.55200000000001</v>
      </c>
      <c r="N113" t="s">
        <v>544</v>
      </c>
      <c r="O113" t="s">
        <v>48</v>
      </c>
      <c r="P113" t="s">
        <v>49</v>
      </c>
      <c r="Q113" t="s">
        <v>50</v>
      </c>
      <c r="R113" t="s">
        <v>75</v>
      </c>
      <c r="S113" s="1">
        <v>8305</v>
      </c>
      <c r="T113" s="1">
        <v>8305</v>
      </c>
      <c r="U113">
        <v>0</v>
      </c>
      <c r="V113" s="1">
        <v>8297</v>
      </c>
      <c r="W113">
        <v>0.16</v>
      </c>
      <c r="X113">
        <v>0.02</v>
      </c>
      <c r="Y113" s="12">
        <v>0</v>
      </c>
      <c r="Z113" s="12">
        <v>56.7</v>
      </c>
      <c r="AA113" s="12">
        <v>51.6</v>
      </c>
      <c r="AB113" s="12">
        <v>0.1</v>
      </c>
      <c r="AC113" s="12">
        <v>2.2999999999999998</v>
      </c>
      <c r="AD113" s="12">
        <v>2.2000000000000002</v>
      </c>
      <c r="AE113">
        <v>239</v>
      </c>
      <c r="AF113">
        <v>97</v>
      </c>
      <c r="AG113">
        <v>0.02</v>
      </c>
      <c r="AH113" s="1">
        <v>3005</v>
      </c>
      <c r="AI113" s="1">
        <v>5855</v>
      </c>
      <c r="AJ113">
        <v>37</v>
      </c>
      <c r="AL113">
        <v>0.77800000000000002</v>
      </c>
      <c r="AM113">
        <v>65.161000000000001</v>
      </c>
      <c r="AN113">
        <v>57.386000000000003</v>
      </c>
      <c r="AO113" s="2">
        <v>7532.0320000000002</v>
      </c>
    </row>
    <row r="114" spans="1:41" x14ac:dyDescent="0.2">
      <c r="A114">
        <v>2023</v>
      </c>
      <c r="B114">
        <v>101356</v>
      </c>
      <c r="C114">
        <v>157</v>
      </c>
      <c r="D114" t="s">
        <v>545</v>
      </c>
      <c r="E114" t="s">
        <v>42</v>
      </c>
      <c r="F114">
        <v>322130</v>
      </c>
      <c r="G114" t="s">
        <v>133</v>
      </c>
      <c r="H114" t="s">
        <v>546</v>
      </c>
      <c r="I114" t="s">
        <v>547</v>
      </c>
      <c r="J114" t="s">
        <v>46</v>
      </c>
      <c r="K114">
        <v>90333</v>
      </c>
      <c r="L114">
        <v>34.145000000000003</v>
      </c>
      <c r="M114">
        <v>-119.184</v>
      </c>
      <c r="N114" t="s">
        <v>548</v>
      </c>
      <c r="O114" t="s">
        <v>153</v>
      </c>
      <c r="P114" t="s">
        <v>154</v>
      </c>
      <c r="Q114" t="s">
        <v>155</v>
      </c>
      <c r="R114" t="s">
        <v>51</v>
      </c>
      <c r="S114" s="1">
        <v>122587</v>
      </c>
      <c r="T114" s="1">
        <v>122587</v>
      </c>
      <c r="U114">
        <v>0</v>
      </c>
      <c r="V114" s="1">
        <v>122460</v>
      </c>
      <c r="W114">
        <v>2.31</v>
      </c>
      <c r="X114">
        <v>0.23</v>
      </c>
      <c r="Y114" s="12">
        <v>122587</v>
      </c>
      <c r="Z114" s="12">
        <v>3.3</v>
      </c>
      <c r="AA114" s="12">
        <v>13.2</v>
      </c>
      <c r="AB114" s="12">
        <v>0.7</v>
      </c>
      <c r="AC114" s="12">
        <v>8.1</v>
      </c>
      <c r="AD114" s="12">
        <v>8.1</v>
      </c>
      <c r="AE114">
        <v>26.6</v>
      </c>
      <c r="AF114">
        <v>0.94399999999999995</v>
      </c>
      <c r="AI114" s="1">
        <v>1553</v>
      </c>
      <c r="AM114">
        <v>6.17</v>
      </c>
      <c r="AN114">
        <v>4.1139999999999999</v>
      </c>
      <c r="AO114">
        <v>101.30200000000001</v>
      </c>
    </row>
    <row r="115" spans="1:41" x14ac:dyDescent="0.2">
      <c r="A115">
        <v>2023</v>
      </c>
      <c r="B115">
        <v>101358</v>
      </c>
      <c r="D115" t="s">
        <v>549</v>
      </c>
      <c r="E115" t="s">
        <v>42</v>
      </c>
      <c r="F115">
        <v>336411</v>
      </c>
      <c r="G115" t="s">
        <v>550</v>
      </c>
      <c r="H115" t="s">
        <v>551</v>
      </c>
      <c r="I115" t="s">
        <v>552</v>
      </c>
      <c r="J115" t="s">
        <v>46</v>
      </c>
      <c r="K115">
        <v>93550</v>
      </c>
      <c r="L115">
        <v>34.642000000000003</v>
      </c>
      <c r="M115">
        <v>-118.071</v>
      </c>
      <c r="N115" t="s">
        <v>553</v>
      </c>
      <c r="O115" t="s">
        <v>48</v>
      </c>
      <c r="P115" t="s">
        <v>554</v>
      </c>
      <c r="Q115" t="s">
        <v>59</v>
      </c>
      <c r="R115" t="s">
        <v>75</v>
      </c>
      <c r="S115" s="1">
        <v>17176</v>
      </c>
      <c r="T115" s="1">
        <v>17176</v>
      </c>
      <c r="U115">
        <v>0</v>
      </c>
      <c r="V115" s="1">
        <v>17158</v>
      </c>
      <c r="W115">
        <v>0.32</v>
      </c>
      <c r="X115">
        <v>0.03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</row>
    <row r="116" spans="1:41" x14ac:dyDescent="0.2">
      <c r="A116">
        <v>2023</v>
      </c>
      <c r="B116">
        <v>101378</v>
      </c>
      <c r="C116">
        <v>3</v>
      </c>
      <c r="D116" t="s">
        <v>555</v>
      </c>
      <c r="E116" t="s">
        <v>42</v>
      </c>
      <c r="F116">
        <v>321113</v>
      </c>
      <c r="G116" t="s">
        <v>85</v>
      </c>
      <c r="H116" t="s">
        <v>556</v>
      </c>
      <c r="I116" t="s">
        <v>557</v>
      </c>
      <c r="J116" t="s">
        <v>46</v>
      </c>
      <c r="K116">
        <v>95971</v>
      </c>
      <c r="L116">
        <v>39.94</v>
      </c>
      <c r="M116">
        <v>-120.913</v>
      </c>
      <c r="N116" t="s">
        <v>558</v>
      </c>
      <c r="O116" t="s">
        <v>467</v>
      </c>
      <c r="P116" t="s">
        <v>468</v>
      </c>
      <c r="Q116" t="s">
        <v>469</v>
      </c>
      <c r="R116" t="s">
        <v>75</v>
      </c>
      <c r="S116" s="1">
        <v>406572</v>
      </c>
      <c r="T116" s="1">
        <v>8612</v>
      </c>
      <c r="U116" s="1">
        <v>397961</v>
      </c>
      <c r="V116" s="1">
        <v>398203</v>
      </c>
      <c r="W116">
        <v>130.53</v>
      </c>
      <c r="X116">
        <v>17.13</v>
      </c>
      <c r="Y116" s="12">
        <v>0</v>
      </c>
      <c r="Z116" s="12">
        <v>21.6</v>
      </c>
      <c r="AA116" s="12">
        <v>282</v>
      </c>
      <c r="AB116" s="12">
        <v>1.7</v>
      </c>
      <c r="AC116" s="12">
        <v>18.8</v>
      </c>
      <c r="AD116" s="12">
        <v>17.3</v>
      </c>
      <c r="AM116">
        <v>1.68</v>
      </c>
      <c r="AN116">
        <v>2.69</v>
      </c>
      <c r="AO116">
        <v>4.5999999999999999E-2</v>
      </c>
    </row>
    <row r="117" spans="1:41" x14ac:dyDescent="0.2">
      <c r="A117">
        <v>2023</v>
      </c>
      <c r="B117">
        <v>101381</v>
      </c>
      <c r="C117">
        <v>2</v>
      </c>
      <c r="D117" t="s">
        <v>559</v>
      </c>
      <c r="E117" t="s">
        <v>61</v>
      </c>
      <c r="F117">
        <v>327310</v>
      </c>
      <c r="G117" t="s">
        <v>62</v>
      </c>
      <c r="H117" t="s">
        <v>560</v>
      </c>
      <c r="I117" t="s">
        <v>561</v>
      </c>
      <c r="J117" t="s">
        <v>46</v>
      </c>
      <c r="K117">
        <v>96003</v>
      </c>
      <c r="L117">
        <v>40.737000000000002</v>
      </c>
      <c r="M117">
        <v>-122.324</v>
      </c>
      <c r="N117" t="s">
        <v>562</v>
      </c>
      <c r="O117" t="s">
        <v>72</v>
      </c>
      <c r="P117" t="s">
        <v>73</v>
      </c>
      <c r="Q117" t="s">
        <v>74</v>
      </c>
      <c r="R117" t="s">
        <v>51</v>
      </c>
      <c r="S117" s="1">
        <v>372761</v>
      </c>
      <c r="T117" s="1">
        <v>365334</v>
      </c>
      <c r="U117" s="1">
        <v>7427</v>
      </c>
      <c r="V117" s="1">
        <v>371412</v>
      </c>
      <c r="W117">
        <v>20.52</v>
      </c>
      <c r="X117">
        <v>2.81</v>
      </c>
      <c r="Y117" s="12">
        <v>365334</v>
      </c>
      <c r="Z117" s="12">
        <v>6.7</v>
      </c>
      <c r="AA117" s="12">
        <v>640.5</v>
      </c>
      <c r="AB117" s="12">
        <v>26.1</v>
      </c>
      <c r="AC117" s="12">
        <v>231</v>
      </c>
      <c r="AD117" s="12">
        <v>110.3</v>
      </c>
    </row>
    <row r="118" spans="1:41" x14ac:dyDescent="0.2">
      <c r="A118">
        <v>2023</v>
      </c>
      <c r="B118">
        <v>101384</v>
      </c>
      <c r="C118">
        <v>10</v>
      </c>
      <c r="D118" t="s">
        <v>563</v>
      </c>
      <c r="E118" t="s">
        <v>111</v>
      </c>
      <c r="F118">
        <v>324110</v>
      </c>
      <c r="G118" t="s">
        <v>112</v>
      </c>
      <c r="H118" t="s">
        <v>564</v>
      </c>
      <c r="I118" t="s">
        <v>565</v>
      </c>
      <c r="J118" t="s">
        <v>46</v>
      </c>
      <c r="K118">
        <v>94802</v>
      </c>
      <c r="L118">
        <v>37.93</v>
      </c>
      <c r="M118">
        <v>-122.389</v>
      </c>
      <c r="N118" t="s">
        <v>566</v>
      </c>
      <c r="O118" t="s">
        <v>173</v>
      </c>
      <c r="P118" t="s">
        <v>108</v>
      </c>
      <c r="Q118" t="s">
        <v>109</v>
      </c>
      <c r="R118" t="s">
        <v>51</v>
      </c>
      <c r="S118" s="1">
        <v>4342180</v>
      </c>
      <c r="T118" s="1">
        <v>4342180</v>
      </c>
      <c r="U118">
        <v>0</v>
      </c>
      <c r="V118" s="1">
        <v>4327591</v>
      </c>
      <c r="W118">
        <v>236.38</v>
      </c>
      <c r="X118">
        <v>29.13</v>
      </c>
      <c r="Y118" s="12">
        <v>4338867</v>
      </c>
      <c r="Z118" s="12">
        <v>403.1</v>
      </c>
      <c r="AA118" s="12">
        <v>674.7</v>
      </c>
      <c r="AB118" s="12">
        <v>241.2</v>
      </c>
      <c r="AC118" s="12">
        <v>412</v>
      </c>
      <c r="AD118" s="12">
        <v>403.1</v>
      </c>
      <c r="AE118" s="1">
        <v>5339</v>
      </c>
      <c r="AF118">
        <v>238</v>
      </c>
      <c r="AG118">
        <v>5.66</v>
      </c>
      <c r="AH118">
        <v>272</v>
      </c>
      <c r="AI118" s="1">
        <v>20035</v>
      </c>
      <c r="AJ118" s="1">
        <v>32413</v>
      </c>
      <c r="AK118" s="1">
        <v>7615</v>
      </c>
      <c r="AL118">
        <v>225.1</v>
      </c>
      <c r="AM118">
        <v>442.08600000000001</v>
      </c>
      <c r="AN118">
        <v>924.59299999999996</v>
      </c>
      <c r="AO118" s="2">
        <v>13410.106</v>
      </c>
    </row>
    <row r="119" spans="1:41" x14ac:dyDescent="0.2">
      <c r="A119">
        <v>2023</v>
      </c>
      <c r="B119">
        <v>101399</v>
      </c>
      <c r="C119">
        <v>351</v>
      </c>
      <c r="D119" t="s">
        <v>567</v>
      </c>
      <c r="E119" t="s">
        <v>42</v>
      </c>
      <c r="F119">
        <v>611310</v>
      </c>
      <c r="G119" t="s">
        <v>103</v>
      </c>
      <c r="H119" t="s">
        <v>568</v>
      </c>
      <c r="I119" t="s">
        <v>126</v>
      </c>
      <c r="J119" t="s">
        <v>46</v>
      </c>
      <c r="K119">
        <v>92182</v>
      </c>
      <c r="L119">
        <v>32.777999999999999</v>
      </c>
      <c r="M119">
        <v>-117.07</v>
      </c>
      <c r="N119" t="s">
        <v>569</v>
      </c>
      <c r="O119" t="s">
        <v>126</v>
      </c>
      <c r="P119" t="s">
        <v>127</v>
      </c>
      <c r="Q119" t="s">
        <v>126</v>
      </c>
      <c r="R119" t="s">
        <v>51</v>
      </c>
      <c r="S119" s="1">
        <v>50456</v>
      </c>
      <c r="T119" s="1">
        <v>50456</v>
      </c>
      <c r="U119">
        <v>0</v>
      </c>
      <c r="V119" s="1">
        <v>50404</v>
      </c>
      <c r="W119">
        <v>0.95</v>
      </c>
      <c r="X119">
        <v>0.1</v>
      </c>
      <c r="Y119" s="12">
        <v>50456</v>
      </c>
      <c r="Z119" s="12">
        <v>0.7</v>
      </c>
      <c r="AA119" s="12">
        <v>17.7</v>
      </c>
      <c r="AB119" s="12">
        <v>0.3</v>
      </c>
      <c r="AC119" s="12">
        <v>3</v>
      </c>
      <c r="AD119" s="12">
        <v>2.9</v>
      </c>
      <c r="AE119">
        <v>11.1</v>
      </c>
      <c r="AF119">
        <v>1.24</v>
      </c>
      <c r="AG119">
        <v>0</v>
      </c>
      <c r="AH119">
        <v>55.4</v>
      </c>
      <c r="AI119">
        <v>602</v>
      </c>
      <c r="AJ119">
        <v>0.77800000000000002</v>
      </c>
      <c r="AL119">
        <v>1.6E-2</v>
      </c>
      <c r="AM119">
        <v>2.3540000000000001</v>
      </c>
      <c r="AN119">
        <v>1.726</v>
      </c>
      <c r="AO119">
        <v>179.113</v>
      </c>
    </row>
    <row r="120" spans="1:41" x14ac:dyDescent="0.2">
      <c r="A120">
        <v>2023</v>
      </c>
      <c r="B120">
        <v>101400</v>
      </c>
      <c r="C120">
        <v>5640</v>
      </c>
      <c r="D120" t="s">
        <v>570</v>
      </c>
      <c r="E120" t="s">
        <v>42</v>
      </c>
      <c r="F120">
        <v>541990</v>
      </c>
      <c r="G120" t="s">
        <v>571</v>
      </c>
      <c r="H120" t="s">
        <v>572</v>
      </c>
      <c r="I120" t="s">
        <v>126</v>
      </c>
      <c r="J120" t="s">
        <v>46</v>
      </c>
      <c r="K120">
        <v>92121</v>
      </c>
      <c r="L120">
        <v>32.893999999999998</v>
      </c>
      <c r="M120">
        <v>-117.197</v>
      </c>
      <c r="N120" t="s">
        <v>573</v>
      </c>
      <c r="O120" t="s">
        <v>126</v>
      </c>
      <c r="P120" t="s">
        <v>127</v>
      </c>
      <c r="Q120" t="s">
        <v>126</v>
      </c>
      <c r="R120" t="s">
        <v>75</v>
      </c>
      <c r="S120" s="1">
        <v>21827</v>
      </c>
      <c r="T120" s="1">
        <v>21827</v>
      </c>
      <c r="U120">
        <v>0</v>
      </c>
      <c r="V120" s="1">
        <v>21804</v>
      </c>
      <c r="W120">
        <v>0.41</v>
      </c>
      <c r="X120">
        <v>0.04</v>
      </c>
      <c r="Y120" s="12">
        <v>0</v>
      </c>
      <c r="Z120" s="12">
        <v>0.7</v>
      </c>
      <c r="AA120" s="12">
        <v>3.6</v>
      </c>
      <c r="AB120" s="12">
        <v>0.1</v>
      </c>
      <c r="AC120" s="12">
        <v>1.2</v>
      </c>
      <c r="AD120" s="12">
        <v>1.2</v>
      </c>
      <c r="AE120">
        <v>5.72</v>
      </c>
      <c r="AF120">
        <v>1.65</v>
      </c>
      <c r="AG120">
        <v>1E-3</v>
      </c>
      <c r="AH120">
        <v>36</v>
      </c>
      <c r="AI120">
        <v>275</v>
      </c>
      <c r="AJ120">
        <v>1.29</v>
      </c>
      <c r="AL120">
        <v>2.7E-2</v>
      </c>
      <c r="AM120">
        <v>1.234</v>
      </c>
      <c r="AN120">
        <v>0.9</v>
      </c>
      <c r="AO120">
        <v>110.42</v>
      </c>
    </row>
    <row r="121" spans="1:41" x14ac:dyDescent="0.2">
      <c r="A121">
        <v>2023</v>
      </c>
      <c r="B121">
        <v>101416</v>
      </c>
      <c r="C121">
        <v>13160</v>
      </c>
      <c r="D121" t="s">
        <v>574</v>
      </c>
      <c r="E121" t="s">
        <v>42</v>
      </c>
      <c r="F121">
        <v>611310</v>
      </c>
      <c r="G121" t="s">
        <v>103</v>
      </c>
      <c r="H121" t="s">
        <v>575</v>
      </c>
      <c r="I121" t="s">
        <v>366</v>
      </c>
      <c r="J121" t="s">
        <v>46</v>
      </c>
      <c r="K121">
        <v>94143</v>
      </c>
      <c r="L121">
        <v>37.762999999999998</v>
      </c>
      <c r="M121">
        <v>-122.456</v>
      </c>
      <c r="N121" t="s">
        <v>576</v>
      </c>
      <c r="O121" t="s">
        <v>366</v>
      </c>
      <c r="P121" t="s">
        <v>108</v>
      </c>
      <c r="Q121" t="s">
        <v>109</v>
      </c>
      <c r="R121" t="s">
        <v>51</v>
      </c>
      <c r="S121" s="1">
        <v>52282</v>
      </c>
      <c r="T121" s="1">
        <v>52282</v>
      </c>
      <c r="U121">
        <v>0</v>
      </c>
      <c r="V121" s="1">
        <v>52228</v>
      </c>
      <c r="W121">
        <v>0.99</v>
      </c>
      <c r="X121">
        <v>0.1</v>
      </c>
      <c r="Y121" s="12">
        <v>52244</v>
      </c>
      <c r="Z121" s="12">
        <v>1.4</v>
      </c>
      <c r="AA121" s="12">
        <v>6.5</v>
      </c>
      <c r="AB121" s="12">
        <v>0.1</v>
      </c>
      <c r="AC121" s="12">
        <v>0.4</v>
      </c>
      <c r="AD121" s="12">
        <v>0.4</v>
      </c>
      <c r="AE121">
        <v>1.96</v>
      </c>
      <c r="AG121">
        <v>0</v>
      </c>
      <c r="AH121">
        <v>29.2</v>
      </c>
      <c r="AI121">
        <v>54.3</v>
      </c>
      <c r="AL121">
        <v>0.51600000000000001</v>
      </c>
      <c r="AM121">
        <v>0.73299999999999998</v>
      </c>
      <c r="AN121">
        <v>1.2250000000000001</v>
      </c>
      <c r="AO121">
        <v>82.707999999999998</v>
      </c>
    </row>
    <row r="122" spans="1:41" x14ac:dyDescent="0.2">
      <c r="A122">
        <v>2023</v>
      </c>
      <c r="B122">
        <v>101438</v>
      </c>
      <c r="D122" t="s">
        <v>577</v>
      </c>
      <c r="E122" t="s">
        <v>67</v>
      </c>
      <c r="F122">
        <v>221112</v>
      </c>
      <c r="G122" t="s">
        <v>96</v>
      </c>
      <c r="H122" t="s">
        <v>578</v>
      </c>
      <c r="I122" t="s">
        <v>107</v>
      </c>
      <c r="J122" t="s">
        <v>46</v>
      </c>
      <c r="K122">
        <v>95050</v>
      </c>
      <c r="L122">
        <v>37.365000000000002</v>
      </c>
      <c r="M122">
        <v>-121.944</v>
      </c>
      <c r="N122" t="s">
        <v>373</v>
      </c>
      <c r="O122" t="s">
        <v>107</v>
      </c>
      <c r="P122" t="s">
        <v>108</v>
      </c>
      <c r="Q122" t="s">
        <v>109</v>
      </c>
      <c r="R122" t="s">
        <v>51</v>
      </c>
      <c r="S122" s="1">
        <v>15006</v>
      </c>
      <c r="T122" s="1">
        <v>15006</v>
      </c>
      <c r="U122">
        <v>0</v>
      </c>
      <c r="V122" s="1">
        <v>14991</v>
      </c>
      <c r="W122">
        <v>0.28000000000000003</v>
      </c>
      <c r="X122">
        <v>0.03</v>
      </c>
      <c r="Y122" s="12">
        <v>15006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>
        <v>0</v>
      </c>
      <c r="AI122">
        <v>0</v>
      </c>
      <c r="AM122">
        <v>0</v>
      </c>
      <c r="AN122">
        <v>0</v>
      </c>
      <c r="AO122">
        <v>0</v>
      </c>
    </row>
    <row r="123" spans="1:41" x14ac:dyDescent="0.2">
      <c r="A123">
        <v>2023</v>
      </c>
      <c r="B123">
        <v>101447</v>
      </c>
      <c r="C123">
        <v>255</v>
      </c>
      <c r="D123" t="s">
        <v>579</v>
      </c>
      <c r="E123" t="s">
        <v>42</v>
      </c>
      <c r="F123">
        <v>327993</v>
      </c>
      <c r="G123" t="s">
        <v>275</v>
      </c>
      <c r="H123" t="s">
        <v>580</v>
      </c>
      <c r="I123" t="s">
        <v>581</v>
      </c>
      <c r="J123" t="s">
        <v>46</v>
      </c>
      <c r="K123">
        <v>96019</v>
      </c>
      <c r="L123">
        <v>40.658999999999999</v>
      </c>
      <c r="M123">
        <v>-122.39</v>
      </c>
      <c r="N123" t="s">
        <v>582</v>
      </c>
      <c r="O123" t="s">
        <v>72</v>
      </c>
      <c r="P123" t="s">
        <v>73</v>
      </c>
      <c r="Q123" t="s">
        <v>74</v>
      </c>
      <c r="R123" t="s">
        <v>75</v>
      </c>
      <c r="S123" s="1">
        <v>21085</v>
      </c>
      <c r="T123" s="1">
        <v>21085</v>
      </c>
      <c r="U123">
        <v>0</v>
      </c>
      <c r="V123" s="1">
        <v>21065</v>
      </c>
      <c r="W123">
        <v>0.37</v>
      </c>
      <c r="X123">
        <v>0.04</v>
      </c>
      <c r="Y123" s="12">
        <v>0</v>
      </c>
      <c r="Z123" s="12">
        <v>4.8</v>
      </c>
      <c r="AA123" s="12">
        <v>24</v>
      </c>
      <c r="AB123" s="12">
        <v>3.2</v>
      </c>
      <c r="AC123" s="12">
        <v>71.8</v>
      </c>
      <c r="AD123" s="12">
        <v>71.7</v>
      </c>
    </row>
    <row r="124" spans="1:41" x14ac:dyDescent="0.2">
      <c r="A124">
        <v>2023</v>
      </c>
      <c r="B124">
        <v>101451</v>
      </c>
      <c r="C124">
        <v>16024</v>
      </c>
      <c r="D124" t="s">
        <v>583</v>
      </c>
      <c r="E124" t="s">
        <v>42</v>
      </c>
      <c r="F124">
        <v>325414</v>
      </c>
      <c r="G124" t="s">
        <v>379</v>
      </c>
      <c r="H124" t="s">
        <v>584</v>
      </c>
      <c r="I124" t="s">
        <v>585</v>
      </c>
      <c r="J124" t="s">
        <v>46</v>
      </c>
      <c r="K124">
        <v>94080</v>
      </c>
      <c r="L124">
        <v>37.655000000000001</v>
      </c>
      <c r="M124">
        <v>-122.381</v>
      </c>
      <c r="N124" t="s">
        <v>586</v>
      </c>
      <c r="O124" t="s">
        <v>182</v>
      </c>
      <c r="P124" t="s">
        <v>108</v>
      </c>
      <c r="Q124" t="s">
        <v>109</v>
      </c>
      <c r="R124" t="s">
        <v>51</v>
      </c>
      <c r="S124" s="1">
        <v>26679</v>
      </c>
      <c r="T124" s="1">
        <v>26679</v>
      </c>
      <c r="U124">
        <v>0</v>
      </c>
      <c r="V124" s="1">
        <v>26652</v>
      </c>
      <c r="W124">
        <v>0.5</v>
      </c>
      <c r="X124">
        <v>0.05</v>
      </c>
      <c r="Y124" s="12">
        <v>26679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</row>
    <row r="125" spans="1:41" x14ac:dyDescent="0.2">
      <c r="A125">
        <v>2023</v>
      </c>
      <c r="B125">
        <v>101460</v>
      </c>
      <c r="C125">
        <v>3088</v>
      </c>
      <c r="D125" t="s">
        <v>587</v>
      </c>
      <c r="E125" t="s">
        <v>250</v>
      </c>
      <c r="F125">
        <v>211111</v>
      </c>
      <c r="G125" t="s">
        <v>256</v>
      </c>
      <c r="H125" t="s">
        <v>588</v>
      </c>
      <c r="I125" t="s">
        <v>589</v>
      </c>
      <c r="J125" t="s">
        <v>46</v>
      </c>
      <c r="K125">
        <v>93268</v>
      </c>
      <c r="L125">
        <v>35.127000000000002</v>
      </c>
      <c r="M125">
        <v>-119.496</v>
      </c>
      <c r="N125" t="s">
        <v>590</v>
      </c>
      <c r="O125" t="s">
        <v>193</v>
      </c>
      <c r="P125" t="s">
        <v>194</v>
      </c>
      <c r="Q125" t="s">
        <v>195</v>
      </c>
      <c r="R125" t="s">
        <v>51</v>
      </c>
      <c r="S125" s="1">
        <v>26068</v>
      </c>
      <c r="T125" s="1">
        <v>26068</v>
      </c>
      <c r="U125">
        <v>0</v>
      </c>
      <c r="V125" s="1">
        <v>25604</v>
      </c>
      <c r="W125">
        <v>18.010000000000002</v>
      </c>
      <c r="X125">
        <v>0.04</v>
      </c>
      <c r="Y125" s="12">
        <v>25653</v>
      </c>
      <c r="Z125" s="12">
        <v>3</v>
      </c>
      <c r="AA125" s="12">
        <v>2.8</v>
      </c>
      <c r="AB125" s="12">
        <v>0.6</v>
      </c>
      <c r="AC125" s="12">
        <v>1.5</v>
      </c>
      <c r="AD125" s="12">
        <v>1.5</v>
      </c>
      <c r="AE125">
        <v>23.5</v>
      </c>
      <c r="AI125">
        <v>22.1</v>
      </c>
      <c r="AK125">
        <v>89.7</v>
      </c>
      <c r="AM125">
        <v>0.72599999999999998</v>
      </c>
      <c r="AN125">
        <v>0.435</v>
      </c>
      <c r="AO125">
        <v>7.5229999999999997</v>
      </c>
    </row>
    <row r="126" spans="1:41" x14ac:dyDescent="0.2">
      <c r="A126">
        <v>2023</v>
      </c>
      <c r="B126">
        <v>101461</v>
      </c>
      <c r="C126">
        <v>20</v>
      </c>
      <c r="D126" t="s">
        <v>591</v>
      </c>
      <c r="E126" t="s">
        <v>61</v>
      </c>
      <c r="F126">
        <v>327310</v>
      </c>
      <c r="G126" t="s">
        <v>62</v>
      </c>
      <c r="H126" t="s">
        <v>592</v>
      </c>
      <c r="I126" t="s">
        <v>593</v>
      </c>
      <c r="J126" t="s">
        <v>46</v>
      </c>
      <c r="K126">
        <v>93561</v>
      </c>
      <c r="L126">
        <v>35.121000000000002</v>
      </c>
      <c r="M126">
        <v>-118.36799999999999</v>
      </c>
      <c r="N126" t="s">
        <v>594</v>
      </c>
      <c r="O126" t="s">
        <v>193</v>
      </c>
      <c r="P126" t="s">
        <v>200</v>
      </c>
      <c r="Q126" t="s">
        <v>59</v>
      </c>
      <c r="R126" t="s">
        <v>51</v>
      </c>
      <c r="S126" s="1">
        <v>526568</v>
      </c>
      <c r="T126" s="1">
        <v>509568</v>
      </c>
      <c r="U126" s="1">
        <v>17000</v>
      </c>
      <c r="V126" s="1">
        <v>525300</v>
      </c>
      <c r="W126">
        <v>18.84</v>
      </c>
      <c r="X126">
        <v>2.68</v>
      </c>
      <c r="Y126" s="12">
        <v>509568</v>
      </c>
      <c r="Z126" s="12">
        <v>14.1</v>
      </c>
      <c r="AA126" s="12">
        <v>468.8</v>
      </c>
      <c r="AB126" s="12">
        <v>27.4</v>
      </c>
      <c r="AC126" s="12">
        <v>36.799999999999997</v>
      </c>
      <c r="AD126" s="12">
        <v>5.5</v>
      </c>
      <c r="AE126">
        <v>421</v>
      </c>
      <c r="AF126">
        <v>88</v>
      </c>
      <c r="AG126">
        <v>0.50800000000000001</v>
      </c>
      <c r="AH126">
        <v>657</v>
      </c>
      <c r="AI126" s="1">
        <v>5222</v>
      </c>
      <c r="AJ126" s="1">
        <v>2661</v>
      </c>
      <c r="AL126">
        <v>5.4</v>
      </c>
      <c r="AM126">
        <v>70.471000000000004</v>
      </c>
      <c r="AN126">
        <v>83.019000000000005</v>
      </c>
      <c r="AO126" s="2">
        <v>2956.2649999999999</v>
      </c>
    </row>
    <row r="127" spans="1:41" x14ac:dyDescent="0.2">
      <c r="A127">
        <v>2023</v>
      </c>
      <c r="B127">
        <v>101465</v>
      </c>
      <c r="C127">
        <v>525</v>
      </c>
      <c r="D127" t="s">
        <v>595</v>
      </c>
      <c r="E127" t="s">
        <v>42</v>
      </c>
      <c r="F127">
        <v>311514</v>
      </c>
      <c r="G127" t="s">
        <v>306</v>
      </c>
      <c r="H127" t="s">
        <v>596</v>
      </c>
      <c r="I127" t="s">
        <v>392</v>
      </c>
      <c r="J127" t="s">
        <v>46</v>
      </c>
      <c r="K127">
        <v>93274</v>
      </c>
      <c r="L127">
        <v>36.204999999999998</v>
      </c>
      <c r="M127">
        <v>-119.343</v>
      </c>
      <c r="N127" t="s">
        <v>393</v>
      </c>
      <c r="O127" t="s">
        <v>392</v>
      </c>
      <c r="P127" t="s">
        <v>194</v>
      </c>
      <c r="Q127" t="s">
        <v>195</v>
      </c>
      <c r="R127" t="s">
        <v>51</v>
      </c>
      <c r="S127" s="1">
        <v>60649</v>
      </c>
      <c r="T127" s="1">
        <v>60649</v>
      </c>
      <c r="U127">
        <v>0</v>
      </c>
      <c r="V127" s="1">
        <v>60586</v>
      </c>
      <c r="W127">
        <v>1.1399999999999999</v>
      </c>
      <c r="X127">
        <v>0.11</v>
      </c>
      <c r="Y127" s="12">
        <v>60649</v>
      </c>
      <c r="Z127" s="12">
        <v>3.2</v>
      </c>
      <c r="AA127" s="12">
        <v>7.7</v>
      </c>
      <c r="AB127" s="12">
        <v>1.8</v>
      </c>
      <c r="AC127" s="12">
        <v>20.7</v>
      </c>
      <c r="AD127" s="12">
        <v>9.3000000000000007</v>
      </c>
      <c r="AE127">
        <v>3.27</v>
      </c>
      <c r="AH127">
        <v>0.35599999999999998</v>
      </c>
      <c r="AI127">
        <v>6.93</v>
      </c>
      <c r="AM127">
        <v>0.14399999999999999</v>
      </c>
      <c r="AN127">
        <v>0.19700000000000001</v>
      </c>
      <c r="AO127">
        <v>3.085</v>
      </c>
    </row>
    <row r="128" spans="1:41" x14ac:dyDescent="0.2">
      <c r="A128">
        <v>2023</v>
      </c>
      <c r="B128">
        <v>101469</v>
      </c>
      <c r="C128">
        <v>83</v>
      </c>
      <c r="D128" t="s">
        <v>597</v>
      </c>
      <c r="E128" t="s">
        <v>42</v>
      </c>
      <c r="F128">
        <v>331511</v>
      </c>
      <c r="G128" t="s">
        <v>598</v>
      </c>
      <c r="H128" t="s">
        <v>599</v>
      </c>
      <c r="I128" t="s">
        <v>600</v>
      </c>
      <c r="J128" t="s">
        <v>46</v>
      </c>
      <c r="K128">
        <v>94587</v>
      </c>
      <c r="L128">
        <v>37.607999999999997</v>
      </c>
      <c r="M128">
        <v>-122.041</v>
      </c>
      <c r="N128" t="s">
        <v>601</v>
      </c>
      <c r="O128" t="s">
        <v>350</v>
      </c>
      <c r="P128" t="s">
        <v>108</v>
      </c>
      <c r="Q128" t="s">
        <v>109</v>
      </c>
      <c r="R128" t="s">
        <v>51</v>
      </c>
      <c r="S128" s="1">
        <v>44280</v>
      </c>
      <c r="T128" s="1">
        <v>44280</v>
      </c>
      <c r="U128">
        <v>0</v>
      </c>
      <c r="V128" s="1">
        <v>44080</v>
      </c>
      <c r="W128">
        <v>2.98</v>
      </c>
      <c r="X128">
        <v>0.42</v>
      </c>
      <c r="Y128" s="12">
        <v>44280</v>
      </c>
      <c r="Z128" s="12">
        <v>32.799999999999997</v>
      </c>
      <c r="AA128" s="12">
        <v>83.1</v>
      </c>
      <c r="AB128" s="12">
        <v>30.9</v>
      </c>
      <c r="AC128" s="12">
        <v>3.9</v>
      </c>
      <c r="AD128" s="12">
        <v>2.5</v>
      </c>
      <c r="AE128">
        <v>3.28</v>
      </c>
      <c r="AI128">
        <v>20.2</v>
      </c>
      <c r="AJ128">
        <v>401</v>
      </c>
      <c r="AL128">
        <v>2.8000000000000001E-2</v>
      </c>
      <c r="AM128">
        <v>0.214</v>
      </c>
      <c r="AN128">
        <v>1.66</v>
      </c>
      <c r="AO128">
        <v>45.210999999999999</v>
      </c>
    </row>
    <row r="129" spans="1:41" x14ac:dyDescent="0.2">
      <c r="A129">
        <v>2023</v>
      </c>
      <c r="B129">
        <v>101473</v>
      </c>
      <c r="C129">
        <v>16642</v>
      </c>
      <c r="D129" t="s">
        <v>602</v>
      </c>
      <c r="E129" t="s">
        <v>42</v>
      </c>
      <c r="F129">
        <v>312120</v>
      </c>
      <c r="G129" t="s">
        <v>286</v>
      </c>
      <c r="H129" t="s">
        <v>603</v>
      </c>
      <c r="I129" t="s">
        <v>604</v>
      </c>
      <c r="J129" t="s">
        <v>46</v>
      </c>
      <c r="K129">
        <v>91406</v>
      </c>
      <c r="L129">
        <v>34.220999999999997</v>
      </c>
      <c r="M129">
        <v>-118.477</v>
      </c>
      <c r="N129" t="s">
        <v>605</v>
      </c>
      <c r="O129" t="s">
        <v>48</v>
      </c>
      <c r="P129" t="s">
        <v>49</v>
      </c>
      <c r="Q129" t="s">
        <v>50</v>
      </c>
      <c r="R129" t="s">
        <v>51</v>
      </c>
      <c r="S129" s="1">
        <v>34815</v>
      </c>
      <c r="T129" s="1">
        <v>29576</v>
      </c>
      <c r="U129" s="1">
        <v>5240</v>
      </c>
      <c r="V129" s="1">
        <v>34758</v>
      </c>
      <c r="W129">
        <v>0.88</v>
      </c>
      <c r="X129">
        <v>0.12</v>
      </c>
      <c r="Y129" s="12">
        <v>29576</v>
      </c>
      <c r="Z129" s="12">
        <v>69.8</v>
      </c>
      <c r="AA129" s="12">
        <v>2</v>
      </c>
      <c r="AB129" s="12">
        <v>2.1</v>
      </c>
      <c r="AC129" s="12">
        <v>5.9</v>
      </c>
      <c r="AD129" s="12">
        <v>2.5</v>
      </c>
      <c r="AE129">
        <v>2.0699999999999998</v>
      </c>
      <c r="AF129">
        <v>3.5000000000000003E-2</v>
      </c>
      <c r="AG129">
        <v>0</v>
      </c>
      <c r="AH129">
        <v>5.43</v>
      </c>
      <c r="AI129">
        <v>8.26</v>
      </c>
      <c r="AJ129">
        <v>0.03</v>
      </c>
      <c r="AL129">
        <v>1E-3</v>
      </c>
      <c r="AM129">
        <v>0.50700000000000001</v>
      </c>
      <c r="AN129">
        <v>0.55700000000000005</v>
      </c>
      <c r="AO129">
        <v>28.722000000000001</v>
      </c>
    </row>
    <row r="130" spans="1:41" x14ac:dyDescent="0.2">
      <c r="A130">
        <v>2023</v>
      </c>
      <c r="B130">
        <v>101475</v>
      </c>
      <c r="C130">
        <v>7427</v>
      </c>
      <c r="D130" t="s">
        <v>606</v>
      </c>
      <c r="E130" t="s">
        <v>42</v>
      </c>
      <c r="F130">
        <v>327213</v>
      </c>
      <c r="G130" t="s">
        <v>384</v>
      </c>
      <c r="H130" t="s">
        <v>607</v>
      </c>
      <c r="I130" t="s">
        <v>608</v>
      </c>
      <c r="J130" t="s">
        <v>46</v>
      </c>
      <c r="K130">
        <v>90058</v>
      </c>
      <c r="L130">
        <v>33.997</v>
      </c>
      <c r="M130">
        <v>-118.217</v>
      </c>
      <c r="N130" t="s">
        <v>609</v>
      </c>
      <c r="O130" t="s">
        <v>48</v>
      </c>
      <c r="P130" t="s">
        <v>49</v>
      </c>
      <c r="Q130" t="s">
        <v>50</v>
      </c>
      <c r="R130" t="s">
        <v>51</v>
      </c>
      <c r="S130" s="1">
        <v>53980</v>
      </c>
      <c r="T130" s="1">
        <v>53980</v>
      </c>
      <c r="U130">
        <v>0</v>
      </c>
      <c r="V130" s="1">
        <v>53937</v>
      </c>
      <c r="W130">
        <v>0.77</v>
      </c>
      <c r="X130">
        <v>0.08</v>
      </c>
      <c r="Y130" s="12">
        <v>53980</v>
      </c>
      <c r="Z130" s="12">
        <v>2.9</v>
      </c>
      <c r="AA130" s="12">
        <v>40.5</v>
      </c>
      <c r="AB130" s="12">
        <v>36.6</v>
      </c>
      <c r="AC130" s="12">
        <v>19.8</v>
      </c>
      <c r="AD130" s="12">
        <v>17.7</v>
      </c>
      <c r="AE130">
        <v>4.8</v>
      </c>
      <c r="AF130">
        <v>0.22900000000000001</v>
      </c>
      <c r="AG130">
        <v>0.06</v>
      </c>
      <c r="AH130">
        <v>35.200000000000003</v>
      </c>
      <c r="AI130">
        <v>0</v>
      </c>
      <c r="AJ130">
        <v>0.19600000000000001</v>
      </c>
      <c r="AL130">
        <v>11.2</v>
      </c>
      <c r="AM130">
        <v>14.44</v>
      </c>
      <c r="AN130">
        <v>24.001000000000001</v>
      </c>
      <c r="AO130">
        <v>411.904</v>
      </c>
    </row>
    <row r="131" spans="1:41" x14ac:dyDescent="0.2">
      <c r="A131">
        <v>2023</v>
      </c>
      <c r="B131">
        <v>101476</v>
      </c>
      <c r="C131">
        <v>5</v>
      </c>
      <c r="D131" t="s">
        <v>610</v>
      </c>
      <c r="E131" t="s">
        <v>61</v>
      </c>
      <c r="F131">
        <v>327310</v>
      </c>
      <c r="G131" t="s">
        <v>62</v>
      </c>
      <c r="H131" t="s">
        <v>611</v>
      </c>
      <c r="I131" t="s">
        <v>612</v>
      </c>
      <c r="J131" t="s">
        <v>46</v>
      </c>
      <c r="K131">
        <v>92307</v>
      </c>
      <c r="L131">
        <v>34.622999999999998</v>
      </c>
      <c r="M131">
        <v>-117.1</v>
      </c>
      <c r="N131" t="s">
        <v>613</v>
      </c>
      <c r="O131" t="s">
        <v>57</v>
      </c>
      <c r="P131" t="s">
        <v>58</v>
      </c>
      <c r="Q131" t="s">
        <v>59</v>
      </c>
      <c r="R131" t="s">
        <v>51</v>
      </c>
      <c r="S131" s="1">
        <v>1952095</v>
      </c>
      <c r="T131" s="1">
        <v>1817958</v>
      </c>
      <c r="U131" s="1">
        <v>134137</v>
      </c>
      <c r="V131" s="1">
        <v>1945163</v>
      </c>
      <c r="W131">
        <v>103.71</v>
      </c>
      <c r="X131">
        <v>14.56</v>
      </c>
      <c r="Y131" s="12">
        <v>1817950</v>
      </c>
      <c r="Z131" s="12">
        <v>39.799999999999997</v>
      </c>
      <c r="AA131" s="12">
        <v>2177.1999999999998</v>
      </c>
      <c r="AB131" s="12">
        <v>248.4</v>
      </c>
      <c r="AC131" s="12">
        <v>538.70000000000005</v>
      </c>
      <c r="AD131" s="12">
        <v>263.60000000000002</v>
      </c>
      <c r="AE131" s="1">
        <v>3132</v>
      </c>
      <c r="AG131">
        <v>1.5</v>
      </c>
      <c r="AH131" s="1">
        <v>26674</v>
      </c>
      <c r="AI131" s="1">
        <v>3862</v>
      </c>
      <c r="AJ131" s="1">
        <v>16242</v>
      </c>
      <c r="AL131">
        <v>34.200000000000003</v>
      </c>
      <c r="AM131">
        <v>117.98699999999999</v>
      </c>
      <c r="AN131">
        <v>316.40699999999998</v>
      </c>
      <c r="AO131" s="2">
        <v>67820.432000000001</v>
      </c>
    </row>
    <row r="132" spans="1:41" x14ac:dyDescent="0.2">
      <c r="A132">
        <v>2023</v>
      </c>
      <c r="B132">
        <v>101487</v>
      </c>
      <c r="C132">
        <v>800236</v>
      </c>
      <c r="D132" t="s">
        <v>614</v>
      </c>
      <c r="E132" t="s">
        <v>42</v>
      </c>
      <c r="F132">
        <v>221320</v>
      </c>
      <c r="G132" t="s">
        <v>122</v>
      </c>
      <c r="H132" t="s">
        <v>615</v>
      </c>
      <c r="I132" t="s">
        <v>176</v>
      </c>
      <c r="J132" t="s">
        <v>46</v>
      </c>
      <c r="K132">
        <v>90745</v>
      </c>
      <c r="L132">
        <v>33.802999999999997</v>
      </c>
      <c r="M132">
        <v>-118.28400000000001</v>
      </c>
      <c r="N132" t="s">
        <v>616</v>
      </c>
      <c r="O132" t="s">
        <v>48</v>
      </c>
      <c r="P132" t="s">
        <v>49</v>
      </c>
      <c r="Q132" t="s">
        <v>50</v>
      </c>
      <c r="R132" t="s">
        <v>75</v>
      </c>
      <c r="S132" s="1">
        <v>104058</v>
      </c>
      <c r="T132" s="1">
        <v>19278</v>
      </c>
      <c r="U132" s="1">
        <v>84780</v>
      </c>
      <c r="V132" s="1">
        <v>103602</v>
      </c>
      <c r="W132">
        <v>5.57</v>
      </c>
      <c r="X132">
        <v>1.06</v>
      </c>
      <c r="Y132" s="12">
        <v>0</v>
      </c>
      <c r="Z132" s="12">
        <v>22.4</v>
      </c>
      <c r="AA132" s="12">
        <v>62.3</v>
      </c>
      <c r="AB132" s="12">
        <v>7.5</v>
      </c>
      <c r="AC132" s="12">
        <v>12.1</v>
      </c>
      <c r="AD132" s="12">
        <v>12</v>
      </c>
      <c r="AE132">
        <v>335</v>
      </c>
      <c r="AF132">
        <v>100</v>
      </c>
      <c r="AG132">
        <v>2E-3</v>
      </c>
      <c r="AH132">
        <v>225</v>
      </c>
      <c r="AI132" s="1">
        <v>3800</v>
      </c>
      <c r="AJ132">
        <v>2.91</v>
      </c>
      <c r="AK132" s="1">
        <v>2310</v>
      </c>
      <c r="AL132">
        <v>0.748</v>
      </c>
      <c r="AM132">
        <v>54.506999999999998</v>
      </c>
      <c r="AN132">
        <v>37.481000000000002</v>
      </c>
      <c r="AO132" s="2">
        <v>1064.617</v>
      </c>
    </row>
    <row r="133" spans="1:41" x14ac:dyDescent="0.2">
      <c r="A133">
        <v>2023</v>
      </c>
      <c r="B133">
        <v>101498</v>
      </c>
      <c r="C133">
        <v>1326</v>
      </c>
      <c r="D133" t="s">
        <v>617</v>
      </c>
      <c r="E133" t="s">
        <v>42</v>
      </c>
      <c r="F133">
        <v>311421</v>
      </c>
      <c r="G133" t="s">
        <v>281</v>
      </c>
      <c r="H133" t="s">
        <v>618</v>
      </c>
      <c r="I133" t="s">
        <v>318</v>
      </c>
      <c r="J133" t="s">
        <v>46</v>
      </c>
      <c r="K133">
        <v>93635</v>
      </c>
      <c r="L133">
        <v>37.094999999999999</v>
      </c>
      <c r="M133">
        <v>-120.925</v>
      </c>
      <c r="N133" t="s">
        <v>619</v>
      </c>
      <c r="O133" t="s">
        <v>320</v>
      </c>
      <c r="P133" t="s">
        <v>194</v>
      </c>
      <c r="Q133" t="s">
        <v>195</v>
      </c>
      <c r="R133" t="s">
        <v>51</v>
      </c>
      <c r="S133" s="1">
        <v>79594</v>
      </c>
      <c r="T133" s="1">
        <v>79594</v>
      </c>
      <c r="U133">
        <v>0</v>
      </c>
      <c r="V133" s="1">
        <v>79512</v>
      </c>
      <c r="W133">
        <v>1.5</v>
      </c>
      <c r="X133">
        <v>0.15</v>
      </c>
      <c r="Y133" s="12">
        <v>79594</v>
      </c>
      <c r="Z133" s="12">
        <v>2</v>
      </c>
      <c r="AA133" s="12">
        <v>5</v>
      </c>
      <c r="AB133" s="12">
        <v>2</v>
      </c>
      <c r="AC133" s="12">
        <v>2.9</v>
      </c>
      <c r="AD133" s="12">
        <v>2.9</v>
      </c>
      <c r="AE133">
        <v>3.02</v>
      </c>
      <c r="AH133">
        <v>0</v>
      </c>
      <c r="AI133">
        <v>6.41</v>
      </c>
      <c r="AM133">
        <v>0.13600000000000001</v>
      </c>
      <c r="AN133">
        <v>0.1</v>
      </c>
      <c r="AO133">
        <v>2.3719999999999999</v>
      </c>
    </row>
    <row r="134" spans="1:41" x14ac:dyDescent="0.2">
      <c r="A134">
        <v>2023</v>
      </c>
      <c r="B134">
        <v>101499</v>
      </c>
      <c r="C134">
        <v>1399</v>
      </c>
      <c r="D134" t="s">
        <v>620</v>
      </c>
      <c r="E134" t="s">
        <v>42</v>
      </c>
      <c r="F134">
        <v>311421</v>
      </c>
      <c r="G134" t="s">
        <v>281</v>
      </c>
      <c r="H134" t="s">
        <v>621</v>
      </c>
      <c r="I134" t="s">
        <v>318</v>
      </c>
      <c r="J134" t="s">
        <v>46</v>
      </c>
      <c r="K134">
        <v>93635</v>
      </c>
      <c r="L134">
        <v>37.097000000000001</v>
      </c>
      <c r="M134">
        <v>-120.925</v>
      </c>
      <c r="N134" t="s">
        <v>619</v>
      </c>
      <c r="O134" t="s">
        <v>320</v>
      </c>
      <c r="P134" t="s">
        <v>194</v>
      </c>
      <c r="Q134" t="s">
        <v>195</v>
      </c>
      <c r="R134" t="s">
        <v>51</v>
      </c>
      <c r="S134" s="1">
        <v>149894</v>
      </c>
      <c r="T134" s="1">
        <v>149894</v>
      </c>
      <c r="U134">
        <v>0</v>
      </c>
      <c r="V134" s="1">
        <v>149739</v>
      </c>
      <c r="W134">
        <v>2.82</v>
      </c>
      <c r="X134">
        <v>0.28000000000000003</v>
      </c>
      <c r="Y134" s="12">
        <v>149894</v>
      </c>
      <c r="Z134" s="12">
        <v>3</v>
      </c>
      <c r="AA134" s="12">
        <v>13.1</v>
      </c>
      <c r="AB134" s="12">
        <v>3.1</v>
      </c>
      <c r="AC134" s="12">
        <v>14.3</v>
      </c>
      <c r="AD134" s="12">
        <v>11.6</v>
      </c>
      <c r="AE134">
        <v>7.02</v>
      </c>
      <c r="AF134">
        <v>3.3000000000000002E-2</v>
      </c>
      <c r="AH134">
        <v>1.2</v>
      </c>
      <c r="AI134">
        <v>15.3</v>
      </c>
      <c r="AM134">
        <v>0.40600000000000003</v>
      </c>
      <c r="AN134">
        <v>0.36399999999999999</v>
      </c>
      <c r="AO134">
        <v>7.508</v>
      </c>
    </row>
    <row r="135" spans="1:41" x14ac:dyDescent="0.2">
      <c r="A135">
        <v>2023</v>
      </c>
      <c r="B135">
        <v>101502</v>
      </c>
      <c r="C135">
        <v>1243</v>
      </c>
      <c r="D135" t="s">
        <v>622</v>
      </c>
      <c r="E135" t="s">
        <v>42</v>
      </c>
      <c r="F135">
        <v>311421</v>
      </c>
      <c r="G135" t="s">
        <v>281</v>
      </c>
      <c r="H135" t="s">
        <v>623</v>
      </c>
      <c r="I135" t="s">
        <v>624</v>
      </c>
      <c r="J135" t="s">
        <v>46</v>
      </c>
      <c r="K135">
        <v>93622</v>
      </c>
      <c r="L135">
        <v>36.834000000000003</v>
      </c>
      <c r="M135">
        <v>-120.45399999999999</v>
      </c>
      <c r="N135" t="s">
        <v>625</v>
      </c>
      <c r="O135" t="s">
        <v>303</v>
      </c>
      <c r="P135" t="s">
        <v>194</v>
      </c>
      <c r="Q135" t="s">
        <v>195</v>
      </c>
      <c r="R135" t="s">
        <v>51</v>
      </c>
      <c r="S135" s="1">
        <v>37449</v>
      </c>
      <c r="T135" s="1">
        <v>37449</v>
      </c>
      <c r="U135">
        <v>0</v>
      </c>
      <c r="V135" s="1">
        <v>37410</v>
      </c>
      <c r="W135">
        <v>0.71</v>
      </c>
      <c r="X135">
        <v>7.0000000000000007E-2</v>
      </c>
      <c r="Y135" s="12">
        <v>37449</v>
      </c>
      <c r="Z135" s="12">
        <v>2.2999999999999998</v>
      </c>
      <c r="AA135" s="12">
        <v>2.1</v>
      </c>
      <c r="AB135" s="12">
        <v>1</v>
      </c>
      <c r="AC135" s="12">
        <v>1.6</v>
      </c>
      <c r="AD135" s="12">
        <v>1.6</v>
      </c>
      <c r="AE135">
        <v>4.17</v>
      </c>
      <c r="AI135">
        <v>8.85</v>
      </c>
      <c r="AM135">
        <v>0.21099999999999999</v>
      </c>
      <c r="AN135">
        <v>0.17599999999999999</v>
      </c>
      <c r="AO135">
        <v>3.65</v>
      </c>
    </row>
    <row r="136" spans="1:41" x14ac:dyDescent="0.2">
      <c r="A136">
        <v>2023</v>
      </c>
      <c r="B136">
        <v>101503</v>
      </c>
      <c r="C136">
        <v>1976</v>
      </c>
      <c r="D136" t="s">
        <v>626</v>
      </c>
      <c r="E136" t="s">
        <v>42</v>
      </c>
      <c r="F136">
        <v>311421</v>
      </c>
      <c r="G136" t="s">
        <v>281</v>
      </c>
      <c r="H136" t="s">
        <v>627</v>
      </c>
      <c r="I136" t="s">
        <v>628</v>
      </c>
      <c r="J136" t="s">
        <v>46</v>
      </c>
      <c r="K136">
        <v>95351</v>
      </c>
      <c r="L136">
        <v>37.765000000000001</v>
      </c>
      <c r="M136">
        <v>-120.849</v>
      </c>
      <c r="N136" t="s">
        <v>629</v>
      </c>
      <c r="O136" t="s">
        <v>335</v>
      </c>
      <c r="P136" t="s">
        <v>194</v>
      </c>
      <c r="Q136" t="s">
        <v>195</v>
      </c>
      <c r="R136" t="s">
        <v>51</v>
      </c>
      <c r="S136" s="1">
        <v>67998</v>
      </c>
      <c r="T136" s="1">
        <v>67998</v>
      </c>
      <c r="U136">
        <v>0</v>
      </c>
      <c r="V136" s="1">
        <v>67928</v>
      </c>
      <c r="W136">
        <v>1.28</v>
      </c>
      <c r="X136">
        <v>0.13</v>
      </c>
      <c r="Y136" s="12">
        <v>67998</v>
      </c>
      <c r="Z136" s="12">
        <v>0.1</v>
      </c>
      <c r="AA136" s="12">
        <v>0.9</v>
      </c>
      <c r="AB136" s="12">
        <v>0.4</v>
      </c>
      <c r="AC136" s="12">
        <v>0.5</v>
      </c>
      <c r="AD136" s="12">
        <v>0.5</v>
      </c>
      <c r="AE136">
        <v>0.54300000000000004</v>
      </c>
      <c r="AH136">
        <v>9.81</v>
      </c>
      <c r="AI136">
        <v>1.1499999999999999</v>
      </c>
      <c r="AM136">
        <v>6.6000000000000003E-2</v>
      </c>
      <c r="AN136">
        <v>0.11700000000000001</v>
      </c>
      <c r="AO136">
        <v>23.184000000000001</v>
      </c>
    </row>
    <row r="137" spans="1:41" x14ac:dyDescent="0.2">
      <c r="A137">
        <v>2023</v>
      </c>
      <c r="B137">
        <v>101504</v>
      </c>
      <c r="C137">
        <v>7336</v>
      </c>
      <c r="D137" t="s">
        <v>630</v>
      </c>
      <c r="E137" t="s">
        <v>42</v>
      </c>
      <c r="F137">
        <v>311421</v>
      </c>
      <c r="G137" t="s">
        <v>281</v>
      </c>
      <c r="H137" t="s">
        <v>631</v>
      </c>
      <c r="I137" t="s">
        <v>632</v>
      </c>
      <c r="J137" t="s">
        <v>46</v>
      </c>
      <c r="K137">
        <v>93212</v>
      </c>
      <c r="L137">
        <v>36.090000000000003</v>
      </c>
      <c r="M137">
        <v>-119.553</v>
      </c>
      <c r="N137" t="s">
        <v>633</v>
      </c>
      <c r="O137" t="s">
        <v>418</v>
      </c>
      <c r="P137" t="s">
        <v>194</v>
      </c>
      <c r="Q137" t="s">
        <v>195</v>
      </c>
      <c r="R137" t="s">
        <v>51</v>
      </c>
      <c r="S137" s="1">
        <v>26437</v>
      </c>
      <c r="T137" s="1">
        <v>26437</v>
      </c>
      <c r="U137">
        <v>0</v>
      </c>
      <c r="V137" s="1">
        <v>26410</v>
      </c>
      <c r="W137">
        <v>0.5</v>
      </c>
      <c r="X137">
        <v>0.05</v>
      </c>
      <c r="Y137" s="12">
        <v>26437</v>
      </c>
      <c r="Z137" s="12">
        <v>1.3</v>
      </c>
      <c r="AA137" s="12">
        <v>1</v>
      </c>
      <c r="AB137" s="12">
        <v>0.7</v>
      </c>
      <c r="AC137" s="12">
        <v>2.2999999999999998</v>
      </c>
      <c r="AD137" s="12">
        <v>2.1</v>
      </c>
      <c r="AE137">
        <v>0.78600000000000003</v>
      </c>
      <c r="AH137">
        <v>1.78</v>
      </c>
      <c r="AI137">
        <v>1.65</v>
      </c>
      <c r="AM137">
        <v>6.5000000000000002E-2</v>
      </c>
      <c r="AN137">
        <v>0.08</v>
      </c>
      <c r="AO137">
        <v>5.9950000000000001</v>
      </c>
    </row>
    <row r="138" spans="1:41" x14ac:dyDescent="0.2">
      <c r="A138">
        <v>2023</v>
      </c>
      <c r="B138">
        <v>101507</v>
      </c>
      <c r="C138">
        <v>37</v>
      </c>
      <c r="D138" t="s">
        <v>634</v>
      </c>
      <c r="E138" t="s">
        <v>111</v>
      </c>
      <c r="F138">
        <v>324110</v>
      </c>
      <c r="G138" t="s">
        <v>112</v>
      </c>
      <c r="H138" t="s">
        <v>635</v>
      </c>
      <c r="I138" t="s">
        <v>247</v>
      </c>
      <c r="J138" t="s">
        <v>46</v>
      </c>
      <c r="K138">
        <v>93307</v>
      </c>
      <c r="L138">
        <v>35.295000000000002</v>
      </c>
      <c r="M138">
        <v>-118.917</v>
      </c>
      <c r="N138" t="s">
        <v>636</v>
      </c>
      <c r="O138" t="s">
        <v>193</v>
      </c>
      <c r="P138" t="s">
        <v>194</v>
      </c>
      <c r="Q138" t="s">
        <v>195</v>
      </c>
      <c r="R138" t="s">
        <v>51</v>
      </c>
      <c r="S138" s="1">
        <v>178767</v>
      </c>
      <c r="T138" s="1">
        <v>176828</v>
      </c>
      <c r="U138" s="1">
        <v>1939</v>
      </c>
      <c r="V138" s="1">
        <v>177840</v>
      </c>
      <c r="W138">
        <v>18.18</v>
      </c>
      <c r="X138">
        <v>1.59</v>
      </c>
      <c r="Y138" s="12">
        <v>176627</v>
      </c>
      <c r="Z138" s="12">
        <v>68.2</v>
      </c>
      <c r="AA138" s="12">
        <v>34.6</v>
      </c>
      <c r="AB138" s="12">
        <v>5</v>
      </c>
      <c r="AC138" s="12">
        <v>15.2</v>
      </c>
      <c r="AD138" s="12">
        <v>15.2</v>
      </c>
      <c r="AE138">
        <v>385</v>
      </c>
      <c r="AF138">
        <v>21.6</v>
      </c>
      <c r="AG138">
        <v>0.32500000000000001</v>
      </c>
      <c r="AH138">
        <v>51</v>
      </c>
      <c r="AI138" s="1">
        <v>1364</v>
      </c>
      <c r="AK138" s="1">
        <v>1031</v>
      </c>
      <c r="AL138">
        <v>19.899999999999999</v>
      </c>
      <c r="AM138">
        <v>32.793999999999997</v>
      </c>
      <c r="AN138">
        <v>41.875</v>
      </c>
      <c r="AO138">
        <v>957.59699999999998</v>
      </c>
    </row>
    <row r="139" spans="1:41" x14ac:dyDescent="0.2">
      <c r="A139">
        <v>2023</v>
      </c>
      <c r="B139">
        <v>101509</v>
      </c>
      <c r="C139">
        <v>1346</v>
      </c>
      <c r="D139" t="s">
        <v>637</v>
      </c>
      <c r="E139" t="s">
        <v>42</v>
      </c>
      <c r="F139">
        <v>311514</v>
      </c>
      <c r="G139" t="s">
        <v>306</v>
      </c>
      <c r="H139" t="s">
        <v>638</v>
      </c>
      <c r="I139" t="s">
        <v>639</v>
      </c>
      <c r="J139" t="s">
        <v>46</v>
      </c>
      <c r="K139">
        <v>93272</v>
      </c>
      <c r="L139">
        <v>36.009</v>
      </c>
      <c r="M139">
        <v>-119.30500000000001</v>
      </c>
      <c r="N139" t="s">
        <v>640</v>
      </c>
      <c r="O139" t="s">
        <v>392</v>
      </c>
      <c r="P139" t="s">
        <v>194</v>
      </c>
      <c r="Q139" t="s">
        <v>195</v>
      </c>
      <c r="R139" t="s">
        <v>51</v>
      </c>
      <c r="S139" s="1">
        <v>48168</v>
      </c>
      <c r="T139" s="1">
        <v>48168</v>
      </c>
      <c r="U139">
        <v>0</v>
      </c>
      <c r="V139" s="1">
        <v>48119</v>
      </c>
      <c r="W139">
        <v>0.91</v>
      </c>
      <c r="X139">
        <v>0.09</v>
      </c>
      <c r="Y139" s="12">
        <v>48168</v>
      </c>
      <c r="Z139" s="12">
        <v>1.2</v>
      </c>
      <c r="AA139" s="12">
        <v>5.8</v>
      </c>
      <c r="AB139" s="12">
        <v>0.9</v>
      </c>
      <c r="AC139" s="12">
        <v>10.4</v>
      </c>
      <c r="AD139" s="12">
        <v>7.2</v>
      </c>
      <c r="AE139">
        <v>2.2799999999999998</v>
      </c>
      <c r="AF139">
        <v>0.23699999999999999</v>
      </c>
      <c r="AH139">
        <v>8.64</v>
      </c>
      <c r="AI139">
        <v>14.8</v>
      </c>
      <c r="AM139">
        <v>0.54200000000000004</v>
      </c>
      <c r="AN139">
        <v>0.57899999999999996</v>
      </c>
      <c r="AO139">
        <v>23.283999999999999</v>
      </c>
    </row>
    <row r="140" spans="1:41" x14ac:dyDescent="0.2">
      <c r="A140">
        <v>2023</v>
      </c>
      <c r="B140">
        <v>101511</v>
      </c>
      <c r="C140">
        <v>591</v>
      </c>
      <c r="D140" t="s">
        <v>641</v>
      </c>
      <c r="E140" t="s">
        <v>42</v>
      </c>
      <c r="F140">
        <v>221320</v>
      </c>
      <c r="G140" t="s">
        <v>122</v>
      </c>
      <c r="H140" t="s">
        <v>642</v>
      </c>
      <c r="I140" t="s">
        <v>643</v>
      </c>
      <c r="J140" t="s">
        <v>46</v>
      </c>
      <c r="K140">
        <v>94607</v>
      </c>
      <c r="L140">
        <v>37.823</v>
      </c>
      <c r="M140">
        <v>-122.3</v>
      </c>
      <c r="N140" t="s">
        <v>644</v>
      </c>
      <c r="O140" t="s">
        <v>350</v>
      </c>
      <c r="P140" t="s">
        <v>108</v>
      </c>
      <c r="Q140" t="s">
        <v>109</v>
      </c>
      <c r="R140" t="s">
        <v>75</v>
      </c>
      <c r="S140" s="1">
        <v>34675</v>
      </c>
      <c r="T140" s="1">
        <v>1300</v>
      </c>
      <c r="U140" s="1">
        <v>33375</v>
      </c>
      <c r="V140" s="1">
        <v>34502</v>
      </c>
      <c r="W140">
        <v>2.08</v>
      </c>
      <c r="X140">
        <v>0.41</v>
      </c>
      <c r="Y140" s="12">
        <v>0</v>
      </c>
      <c r="Z140" s="12">
        <v>25.3</v>
      </c>
      <c r="AA140" s="12">
        <v>40</v>
      </c>
      <c r="AB140" s="12">
        <v>37.9</v>
      </c>
      <c r="AC140" s="12">
        <v>3.8</v>
      </c>
      <c r="AD140" s="12">
        <v>3.8</v>
      </c>
      <c r="AE140">
        <v>98.7</v>
      </c>
      <c r="AG140">
        <v>0</v>
      </c>
      <c r="AH140">
        <v>76.099999999999994</v>
      </c>
      <c r="AI140" s="1">
        <v>2490</v>
      </c>
      <c r="AK140">
        <v>84.6</v>
      </c>
      <c r="AL140">
        <v>0</v>
      </c>
      <c r="AM140">
        <v>19.399999999999999</v>
      </c>
      <c r="AN140">
        <v>11.923999999999999</v>
      </c>
      <c r="AO140">
        <v>424.73</v>
      </c>
    </row>
    <row r="141" spans="1:41" x14ac:dyDescent="0.2">
      <c r="A141">
        <v>2023</v>
      </c>
      <c r="B141">
        <v>101512</v>
      </c>
      <c r="C141">
        <v>128</v>
      </c>
      <c r="D141" t="s">
        <v>645</v>
      </c>
      <c r="E141" t="s">
        <v>92</v>
      </c>
      <c r="F141">
        <v>325120</v>
      </c>
      <c r="G141" t="s">
        <v>93</v>
      </c>
      <c r="H141" t="s">
        <v>646</v>
      </c>
      <c r="I141" t="s">
        <v>100</v>
      </c>
      <c r="J141" t="s">
        <v>46</v>
      </c>
      <c r="K141">
        <v>95826</v>
      </c>
      <c r="L141">
        <v>38.529000000000003</v>
      </c>
      <c r="M141">
        <v>-121.399</v>
      </c>
      <c r="N141" t="s">
        <v>162</v>
      </c>
      <c r="O141" t="s">
        <v>100</v>
      </c>
      <c r="P141" t="s">
        <v>101</v>
      </c>
      <c r="Q141" t="s">
        <v>74</v>
      </c>
      <c r="R141" t="s">
        <v>51</v>
      </c>
      <c r="S141" s="1">
        <v>43567</v>
      </c>
      <c r="T141" s="1">
        <v>43567</v>
      </c>
      <c r="U141">
        <v>0</v>
      </c>
      <c r="V141" s="1">
        <v>43552</v>
      </c>
      <c r="W141">
        <v>0.15</v>
      </c>
      <c r="X141">
        <v>0.04</v>
      </c>
      <c r="Y141" s="12">
        <v>43567</v>
      </c>
      <c r="Z141" s="12">
        <v>0.7</v>
      </c>
      <c r="AA141" s="12">
        <v>6.5</v>
      </c>
      <c r="AB141" s="12">
        <v>0</v>
      </c>
      <c r="AC141" s="12">
        <v>1</v>
      </c>
      <c r="AD141" s="12">
        <v>1</v>
      </c>
      <c r="AE141">
        <v>15.1</v>
      </c>
      <c r="AI141">
        <v>100</v>
      </c>
      <c r="AM141">
        <v>0.41499999999999998</v>
      </c>
      <c r="AN141">
        <v>0.28599999999999998</v>
      </c>
      <c r="AO141">
        <v>8.8339999999999996</v>
      </c>
    </row>
    <row r="142" spans="1:41" x14ac:dyDescent="0.2">
      <c r="A142">
        <v>2023</v>
      </c>
      <c r="B142">
        <v>101513</v>
      </c>
      <c r="C142">
        <v>948</v>
      </c>
      <c r="D142" t="s">
        <v>647</v>
      </c>
      <c r="E142" t="s">
        <v>42</v>
      </c>
      <c r="F142">
        <v>327211</v>
      </c>
      <c r="G142" t="s">
        <v>648</v>
      </c>
      <c r="H142" t="s">
        <v>649</v>
      </c>
      <c r="I142" t="s">
        <v>303</v>
      </c>
      <c r="J142" t="s">
        <v>46</v>
      </c>
      <c r="K142">
        <v>93725</v>
      </c>
      <c r="L142">
        <v>36.686999999999998</v>
      </c>
      <c r="M142">
        <v>-119.72</v>
      </c>
      <c r="N142" t="s">
        <v>650</v>
      </c>
      <c r="O142" t="s">
        <v>303</v>
      </c>
      <c r="P142" t="s">
        <v>194</v>
      </c>
      <c r="Q142" t="s">
        <v>195</v>
      </c>
      <c r="R142" t="s">
        <v>51</v>
      </c>
      <c r="S142" s="1">
        <v>91894</v>
      </c>
      <c r="T142" s="1">
        <v>91894</v>
      </c>
      <c r="U142">
        <v>0</v>
      </c>
      <c r="V142" s="1">
        <v>91831</v>
      </c>
      <c r="W142">
        <v>1.17</v>
      </c>
      <c r="X142">
        <v>0.12</v>
      </c>
      <c r="Y142" s="12">
        <v>91894</v>
      </c>
      <c r="Z142" s="12">
        <v>5.3</v>
      </c>
      <c r="AA142" s="12">
        <v>179.4</v>
      </c>
      <c r="AB142" s="12">
        <v>35.4</v>
      </c>
      <c r="AC142" s="12">
        <v>35.9</v>
      </c>
      <c r="AD142" s="12">
        <v>34.4</v>
      </c>
      <c r="AE142">
        <v>0</v>
      </c>
      <c r="AH142">
        <v>69.099999999999994</v>
      </c>
      <c r="AI142">
        <v>0</v>
      </c>
      <c r="AL142">
        <v>0</v>
      </c>
      <c r="AM142">
        <v>3.5870000000000002</v>
      </c>
      <c r="AN142">
        <v>6.8639999999999999</v>
      </c>
      <c r="AO142">
        <v>265.41000000000003</v>
      </c>
    </row>
    <row r="143" spans="1:41" x14ac:dyDescent="0.2">
      <c r="A143">
        <v>2023</v>
      </c>
      <c r="B143">
        <v>101514</v>
      </c>
      <c r="C143">
        <v>88</v>
      </c>
      <c r="D143" t="s">
        <v>651</v>
      </c>
      <c r="E143" t="s">
        <v>67</v>
      </c>
      <c r="F143">
        <v>221112</v>
      </c>
      <c r="G143" t="s">
        <v>96</v>
      </c>
      <c r="H143" t="s">
        <v>246</v>
      </c>
      <c r="I143" t="s">
        <v>247</v>
      </c>
      <c r="J143" t="s">
        <v>46</v>
      </c>
      <c r="K143">
        <v>93308</v>
      </c>
      <c r="L143">
        <v>35.451999999999998</v>
      </c>
      <c r="M143">
        <v>-118.98399999999999</v>
      </c>
      <c r="N143" t="s">
        <v>248</v>
      </c>
      <c r="O143" t="s">
        <v>193</v>
      </c>
      <c r="P143" t="s">
        <v>194</v>
      </c>
      <c r="Q143" t="s">
        <v>195</v>
      </c>
      <c r="R143" t="s">
        <v>51</v>
      </c>
      <c r="S143" s="1">
        <v>128288</v>
      </c>
      <c r="T143" s="1">
        <v>128288</v>
      </c>
      <c r="U143">
        <v>0</v>
      </c>
      <c r="V143" s="1">
        <v>128156</v>
      </c>
      <c r="W143">
        <v>2.41</v>
      </c>
      <c r="X143">
        <v>0.24</v>
      </c>
      <c r="Y143" s="12">
        <v>128288</v>
      </c>
      <c r="Z143" s="12">
        <v>0</v>
      </c>
      <c r="AA143" s="12">
        <v>15</v>
      </c>
      <c r="AB143" s="12">
        <v>0.2</v>
      </c>
      <c r="AC143" s="12">
        <v>4.5</v>
      </c>
      <c r="AD143" s="12">
        <v>4.5</v>
      </c>
      <c r="AE143">
        <v>8.17</v>
      </c>
      <c r="AI143">
        <v>303</v>
      </c>
      <c r="AM143">
        <v>7.2619999999999996</v>
      </c>
      <c r="AN143">
        <v>5.1120000000000001</v>
      </c>
      <c r="AO143">
        <v>21.719000000000001</v>
      </c>
    </row>
    <row r="144" spans="1:41" x14ac:dyDescent="0.2">
      <c r="A144">
        <v>2023</v>
      </c>
      <c r="B144">
        <v>101518</v>
      </c>
      <c r="C144">
        <v>1222</v>
      </c>
      <c r="D144" t="s">
        <v>652</v>
      </c>
      <c r="E144" t="s">
        <v>67</v>
      </c>
      <c r="F144">
        <v>221112</v>
      </c>
      <c r="G144" t="s">
        <v>96</v>
      </c>
      <c r="H144" t="s">
        <v>653</v>
      </c>
      <c r="I144" t="s">
        <v>654</v>
      </c>
      <c r="J144" t="s">
        <v>46</v>
      </c>
      <c r="K144">
        <v>93450</v>
      </c>
      <c r="L144">
        <v>35.953000000000003</v>
      </c>
      <c r="M144">
        <v>-120.86799999999999</v>
      </c>
      <c r="N144" t="s">
        <v>655</v>
      </c>
      <c r="O144" t="s">
        <v>656</v>
      </c>
      <c r="P144" t="s">
        <v>187</v>
      </c>
      <c r="Q144" t="s">
        <v>188</v>
      </c>
      <c r="R144" t="s">
        <v>51</v>
      </c>
      <c r="S144" s="1">
        <v>154020</v>
      </c>
      <c r="T144" s="1">
        <v>154020</v>
      </c>
      <c r="U144">
        <v>0</v>
      </c>
      <c r="V144" s="1">
        <v>153863</v>
      </c>
      <c r="W144">
        <v>2.85</v>
      </c>
      <c r="X144">
        <v>0.28999999999999998</v>
      </c>
      <c r="Y144" s="12">
        <v>154020</v>
      </c>
      <c r="Z144" s="12">
        <v>1.3</v>
      </c>
      <c r="AA144" s="12">
        <v>20.8</v>
      </c>
      <c r="AB144" s="12">
        <v>0.1</v>
      </c>
      <c r="AC144" s="12">
        <v>5.4</v>
      </c>
      <c r="AD144" s="12">
        <v>5.4</v>
      </c>
    </row>
    <row r="145" spans="1:41" x14ac:dyDescent="0.2">
      <c r="A145">
        <v>2023</v>
      </c>
      <c r="B145">
        <v>101519</v>
      </c>
      <c r="C145">
        <v>118</v>
      </c>
      <c r="D145" t="s">
        <v>657</v>
      </c>
      <c r="E145" t="s">
        <v>42</v>
      </c>
      <c r="F145">
        <v>325194</v>
      </c>
      <c r="G145" t="s">
        <v>658</v>
      </c>
      <c r="H145" t="s">
        <v>659</v>
      </c>
      <c r="I145" t="s">
        <v>126</v>
      </c>
      <c r="J145" t="s">
        <v>46</v>
      </c>
      <c r="K145">
        <v>92113</v>
      </c>
      <c r="L145">
        <v>32.695</v>
      </c>
      <c r="M145">
        <v>-117.146</v>
      </c>
      <c r="N145" t="s">
        <v>660</v>
      </c>
      <c r="O145" t="s">
        <v>126</v>
      </c>
      <c r="P145" t="s">
        <v>127</v>
      </c>
      <c r="Q145" t="s">
        <v>126</v>
      </c>
      <c r="R145" t="s">
        <v>51</v>
      </c>
      <c r="S145" s="1">
        <v>116403</v>
      </c>
      <c r="T145" s="1">
        <v>116403</v>
      </c>
      <c r="U145">
        <v>0</v>
      </c>
      <c r="V145" s="1">
        <v>116283</v>
      </c>
      <c r="W145">
        <v>2.19</v>
      </c>
      <c r="X145">
        <v>0.22</v>
      </c>
      <c r="Y145" s="12">
        <v>116403</v>
      </c>
      <c r="Z145" s="12">
        <v>8.9</v>
      </c>
      <c r="AA145" s="12">
        <v>38.1</v>
      </c>
      <c r="AB145" s="12">
        <v>0.6</v>
      </c>
      <c r="AC145" s="12">
        <v>7.6</v>
      </c>
      <c r="AD145" s="12">
        <v>7.6</v>
      </c>
      <c r="AE145">
        <v>21.8</v>
      </c>
      <c r="AF145">
        <v>1.61</v>
      </c>
      <c r="AG145">
        <v>0</v>
      </c>
      <c r="AH145">
        <v>188</v>
      </c>
      <c r="AI145" s="1">
        <v>1227</v>
      </c>
      <c r="AJ145">
        <v>0.82399999999999995</v>
      </c>
      <c r="AL145">
        <v>1.7000000000000001E-2</v>
      </c>
      <c r="AM145">
        <v>5.6070000000000002</v>
      </c>
      <c r="AN145">
        <v>3.758</v>
      </c>
      <c r="AO145">
        <v>534.56700000000001</v>
      </c>
    </row>
    <row r="146" spans="1:41" x14ac:dyDescent="0.2">
      <c r="A146">
        <v>2023</v>
      </c>
      <c r="B146">
        <v>101523</v>
      </c>
      <c r="C146">
        <v>5086</v>
      </c>
      <c r="D146" t="s">
        <v>661</v>
      </c>
      <c r="E146" t="s">
        <v>42</v>
      </c>
      <c r="F146">
        <v>541990</v>
      </c>
      <c r="G146" t="s">
        <v>571</v>
      </c>
      <c r="H146" t="s">
        <v>662</v>
      </c>
      <c r="I146" t="s">
        <v>126</v>
      </c>
      <c r="J146" t="s">
        <v>46</v>
      </c>
      <c r="K146">
        <v>92121</v>
      </c>
      <c r="L146">
        <v>32.902999999999999</v>
      </c>
      <c r="M146">
        <v>-117.196</v>
      </c>
      <c r="N146" t="s">
        <v>573</v>
      </c>
      <c r="O146" t="s">
        <v>126</v>
      </c>
      <c r="P146" t="s">
        <v>127</v>
      </c>
      <c r="Q146" t="s">
        <v>126</v>
      </c>
      <c r="R146" t="s">
        <v>51</v>
      </c>
      <c r="S146" s="1">
        <v>26703</v>
      </c>
      <c r="T146" s="1">
        <v>26703</v>
      </c>
      <c r="U146">
        <v>0</v>
      </c>
      <c r="V146" s="1">
        <v>26675</v>
      </c>
      <c r="W146">
        <v>0.5</v>
      </c>
      <c r="X146">
        <v>0.05</v>
      </c>
      <c r="Y146" s="12">
        <v>26703</v>
      </c>
      <c r="Z146" s="12">
        <v>0.2</v>
      </c>
      <c r="AA146" s="12">
        <v>3.7</v>
      </c>
      <c r="AB146" s="12">
        <v>0.1</v>
      </c>
      <c r="AC146" s="12">
        <v>1.2</v>
      </c>
      <c r="AD146" s="12">
        <v>1.2</v>
      </c>
      <c r="AE146">
        <v>4.83</v>
      </c>
      <c r="AF146">
        <v>0.93600000000000005</v>
      </c>
      <c r="AG146">
        <v>0</v>
      </c>
      <c r="AH146">
        <v>13.1</v>
      </c>
      <c r="AI146">
        <v>252</v>
      </c>
      <c r="AJ146">
        <v>0.68600000000000005</v>
      </c>
      <c r="AL146">
        <v>1.4E-2</v>
      </c>
      <c r="AM146">
        <v>1.0069999999999999</v>
      </c>
      <c r="AN146">
        <v>0.71599999999999997</v>
      </c>
      <c r="AO146">
        <v>53.015000000000001</v>
      </c>
    </row>
    <row r="147" spans="1:41" x14ac:dyDescent="0.2">
      <c r="A147">
        <v>2023</v>
      </c>
      <c r="B147">
        <v>101536</v>
      </c>
      <c r="C147">
        <v>68</v>
      </c>
      <c r="D147" t="s">
        <v>663</v>
      </c>
      <c r="E147" t="s">
        <v>42</v>
      </c>
      <c r="F147">
        <v>311421</v>
      </c>
      <c r="G147" t="s">
        <v>281</v>
      </c>
      <c r="H147" t="s">
        <v>664</v>
      </c>
      <c r="I147" t="s">
        <v>665</v>
      </c>
      <c r="J147" t="s">
        <v>46</v>
      </c>
      <c r="K147">
        <v>95987</v>
      </c>
      <c r="L147">
        <v>39.119999999999997</v>
      </c>
      <c r="M147">
        <v>-122</v>
      </c>
      <c r="N147" t="s">
        <v>666</v>
      </c>
      <c r="O147" t="s">
        <v>667</v>
      </c>
      <c r="P147" t="s">
        <v>668</v>
      </c>
      <c r="Q147" t="s">
        <v>74</v>
      </c>
      <c r="R147" t="s">
        <v>51</v>
      </c>
      <c r="S147" s="1">
        <v>144006</v>
      </c>
      <c r="T147" s="1">
        <v>144006</v>
      </c>
      <c r="U147">
        <v>0</v>
      </c>
      <c r="V147" s="1">
        <v>143857</v>
      </c>
      <c r="W147">
        <v>2.71</v>
      </c>
      <c r="X147">
        <v>0.27</v>
      </c>
      <c r="Y147" s="12">
        <v>144006</v>
      </c>
      <c r="Z147" s="12">
        <v>5.3</v>
      </c>
      <c r="AA147" s="12">
        <v>15</v>
      </c>
      <c r="AB147" s="12">
        <v>0.6</v>
      </c>
      <c r="AC147" s="12">
        <v>7.3</v>
      </c>
      <c r="AD147" s="12">
        <v>7.3</v>
      </c>
      <c r="AE147">
        <v>4.05</v>
      </c>
      <c r="AI147">
        <v>144</v>
      </c>
      <c r="AM147">
        <v>0.58299999999999996</v>
      </c>
      <c r="AN147">
        <v>0.376</v>
      </c>
      <c r="AO147">
        <v>9.5440000000000005</v>
      </c>
    </row>
    <row r="148" spans="1:41" x14ac:dyDescent="0.2">
      <c r="A148">
        <v>2023</v>
      </c>
      <c r="B148">
        <v>101562</v>
      </c>
      <c r="C148">
        <v>49</v>
      </c>
      <c r="D148" t="s">
        <v>669</v>
      </c>
      <c r="E148" t="s">
        <v>250</v>
      </c>
      <c r="F148">
        <v>221210</v>
      </c>
      <c r="G148" t="s">
        <v>341</v>
      </c>
      <c r="H148" t="s">
        <v>670</v>
      </c>
      <c r="I148" t="s">
        <v>671</v>
      </c>
      <c r="J148" t="s">
        <v>46</v>
      </c>
      <c r="K148">
        <v>95979</v>
      </c>
      <c r="L148">
        <v>39.365000000000002</v>
      </c>
      <c r="M148">
        <v>-122.264</v>
      </c>
      <c r="N148" t="s">
        <v>672</v>
      </c>
      <c r="O148" t="s">
        <v>667</v>
      </c>
      <c r="P148" t="s">
        <v>668</v>
      </c>
      <c r="Q148" t="s">
        <v>74</v>
      </c>
      <c r="R148" t="s">
        <v>51</v>
      </c>
      <c r="S148" s="1">
        <v>33435</v>
      </c>
      <c r="T148" s="1">
        <v>33435</v>
      </c>
      <c r="U148">
        <v>0</v>
      </c>
      <c r="V148" s="1">
        <v>31604</v>
      </c>
      <c r="W148">
        <v>72.540000000000006</v>
      </c>
      <c r="X148">
        <v>0.06</v>
      </c>
      <c r="Y148" s="12">
        <v>31635</v>
      </c>
      <c r="Z148" s="12">
        <v>0.2</v>
      </c>
      <c r="AA148" s="12">
        <v>11.3</v>
      </c>
      <c r="AB148" s="12">
        <v>0</v>
      </c>
      <c r="AC148" s="12">
        <v>0.4</v>
      </c>
      <c r="AD148" s="12">
        <v>0.4</v>
      </c>
      <c r="AE148">
        <v>0</v>
      </c>
      <c r="AF148">
        <v>1.51</v>
      </c>
      <c r="AI148">
        <v>210</v>
      </c>
      <c r="AM148">
        <v>4.6710000000000003</v>
      </c>
      <c r="AN148">
        <v>3.4740000000000002</v>
      </c>
      <c r="AO148">
        <v>29.398</v>
      </c>
    </row>
    <row r="149" spans="1:41" x14ac:dyDescent="0.2">
      <c r="A149">
        <v>2023</v>
      </c>
      <c r="B149">
        <v>101563</v>
      </c>
      <c r="C149">
        <v>904</v>
      </c>
      <c r="D149" t="s">
        <v>673</v>
      </c>
      <c r="E149" t="s">
        <v>250</v>
      </c>
      <c r="F149">
        <v>221210</v>
      </c>
      <c r="G149" t="s">
        <v>341</v>
      </c>
      <c r="H149" t="s">
        <v>674</v>
      </c>
      <c r="I149" t="s">
        <v>675</v>
      </c>
      <c r="J149" t="s">
        <v>46</v>
      </c>
      <c r="K149">
        <v>93204</v>
      </c>
      <c r="L149">
        <v>36.073</v>
      </c>
      <c r="M149">
        <v>-120.048</v>
      </c>
      <c r="N149" t="s">
        <v>676</v>
      </c>
      <c r="O149" t="s">
        <v>418</v>
      </c>
      <c r="P149" t="s">
        <v>194</v>
      </c>
      <c r="Q149" t="s">
        <v>195</v>
      </c>
      <c r="R149" t="s">
        <v>51</v>
      </c>
      <c r="S149" s="1">
        <v>39742</v>
      </c>
      <c r="T149" s="1">
        <v>39742</v>
      </c>
      <c r="U149">
        <v>0</v>
      </c>
      <c r="V149" s="1">
        <v>36273</v>
      </c>
      <c r="W149">
        <v>137.91999999999999</v>
      </c>
      <c r="X149">
        <v>7.0000000000000007E-2</v>
      </c>
      <c r="Y149" s="12">
        <v>36307</v>
      </c>
      <c r="Z149" s="12">
        <v>10.8</v>
      </c>
      <c r="AA149" s="12">
        <v>5.4</v>
      </c>
      <c r="AB149" s="12">
        <v>0.2</v>
      </c>
      <c r="AC149" s="12">
        <v>1.7</v>
      </c>
      <c r="AD149" s="12">
        <v>1.7</v>
      </c>
      <c r="AE149">
        <v>0.99099999999999999</v>
      </c>
      <c r="AF149">
        <v>0.32800000000000001</v>
      </c>
      <c r="AI149">
        <v>14.6</v>
      </c>
      <c r="AK149">
        <v>0.17899999999999999</v>
      </c>
      <c r="AM149">
        <v>0.41299999999999998</v>
      </c>
      <c r="AN149">
        <v>0.34499999999999997</v>
      </c>
      <c r="AO149">
        <v>3.085</v>
      </c>
    </row>
    <row r="150" spans="1:41" x14ac:dyDescent="0.2">
      <c r="A150">
        <v>2023</v>
      </c>
      <c r="B150">
        <v>101564</v>
      </c>
      <c r="C150">
        <v>3680</v>
      </c>
      <c r="D150" t="s">
        <v>677</v>
      </c>
      <c r="E150" t="s">
        <v>42</v>
      </c>
      <c r="F150">
        <v>221320</v>
      </c>
      <c r="G150" t="s">
        <v>122</v>
      </c>
      <c r="H150" t="s">
        <v>678</v>
      </c>
      <c r="I150" t="s">
        <v>126</v>
      </c>
      <c r="J150" t="s">
        <v>46</v>
      </c>
      <c r="K150">
        <v>92106</v>
      </c>
      <c r="L150">
        <v>32.68</v>
      </c>
      <c r="M150">
        <v>-117.247</v>
      </c>
      <c r="N150" t="s">
        <v>679</v>
      </c>
      <c r="O150" t="s">
        <v>126</v>
      </c>
      <c r="P150" t="s">
        <v>127</v>
      </c>
      <c r="Q150" t="s">
        <v>126</v>
      </c>
      <c r="R150" t="s">
        <v>75</v>
      </c>
      <c r="S150" s="1">
        <v>21450</v>
      </c>
      <c r="T150">
        <v>378</v>
      </c>
      <c r="U150" s="1">
        <v>21072</v>
      </c>
      <c r="V150" s="1">
        <v>21342</v>
      </c>
      <c r="W150">
        <v>1.3</v>
      </c>
      <c r="X150">
        <v>0.26</v>
      </c>
      <c r="Y150" s="12">
        <v>0</v>
      </c>
      <c r="Z150" s="12">
        <v>16.100000000000001</v>
      </c>
      <c r="AA150" s="12">
        <v>21.3</v>
      </c>
      <c r="AB150" s="12">
        <v>1</v>
      </c>
      <c r="AC150" s="12">
        <v>9.8000000000000007</v>
      </c>
      <c r="AD150" s="12">
        <v>9.8000000000000007</v>
      </c>
      <c r="AE150">
        <v>109</v>
      </c>
      <c r="AF150">
        <v>0.67600000000000005</v>
      </c>
      <c r="AG150">
        <v>6.0000000000000001E-3</v>
      </c>
      <c r="AH150">
        <v>13.1</v>
      </c>
      <c r="AI150" s="1">
        <v>22705</v>
      </c>
      <c r="AJ150">
        <v>636</v>
      </c>
      <c r="AK150">
        <v>186</v>
      </c>
      <c r="AL150">
        <v>0.02</v>
      </c>
      <c r="AM150">
        <v>73.254999999999995</v>
      </c>
      <c r="AN150">
        <v>46.908999999999999</v>
      </c>
      <c r="AO150" s="2">
        <v>1120.3710000000001</v>
      </c>
    </row>
    <row r="151" spans="1:41" x14ac:dyDescent="0.2">
      <c r="A151">
        <v>2023</v>
      </c>
      <c r="B151">
        <v>101574</v>
      </c>
      <c r="D151" t="s">
        <v>680</v>
      </c>
      <c r="E151" t="s">
        <v>42</v>
      </c>
      <c r="F151">
        <v>336411</v>
      </c>
      <c r="G151" t="s">
        <v>550</v>
      </c>
      <c r="H151" t="s">
        <v>681</v>
      </c>
      <c r="I151" t="s">
        <v>552</v>
      </c>
      <c r="J151" t="s">
        <v>46</v>
      </c>
      <c r="K151">
        <v>93599</v>
      </c>
      <c r="L151">
        <v>34.613</v>
      </c>
      <c r="M151">
        <v>-118.11499999999999</v>
      </c>
      <c r="N151" t="s">
        <v>553</v>
      </c>
      <c r="O151" t="s">
        <v>48</v>
      </c>
      <c r="P151" t="s">
        <v>554</v>
      </c>
      <c r="Q151" t="s">
        <v>59</v>
      </c>
      <c r="R151" t="s">
        <v>75</v>
      </c>
      <c r="S151" s="1">
        <v>18694</v>
      </c>
      <c r="T151" s="1">
        <v>18694</v>
      </c>
      <c r="U151">
        <v>0</v>
      </c>
      <c r="V151" s="1">
        <v>18675</v>
      </c>
      <c r="W151">
        <v>0.35</v>
      </c>
      <c r="X151">
        <v>0.04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</row>
    <row r="152" spans="1:41" x14ac:dyDescent="0.2">
      <c r="A152">
        <v>2023</v>
      </c>
      <c r="B152">
        <v>101575</v>
      </c>
      <c r="C152">
        <v>1252</v>
      </c>
      <c r="D152" t="s">
        <v>682</v>
      </c>
      <c r="E152" t="s">
        <v>42</v>
      </c>
      <c r="F152">
        <v>311615</v>
      </c>
      <c r="G152" t="s">
        <v>683</v>
      </c>
      <c r="H152" t="s">
        <v>684</v>
      </c>
      <c r="I152" t="s">
        <v>518</v>
      </c>
      <c r="J152" t="s">
        <v>46</v>
      </c>
      <c r="K152">
        <v>95334</v>
      </c>
      <c r="L152">
        <v>37.392000000000003</v>
      </c>
      <c r="M152">
        <v>-120.727</v>
      </c>
      <c r="N152" t="s">
        <v>685</v>
      </c>
      <c r="O152" t="s">
        <v>320</v>
      </c>
      <c r="P152" t="s">
        <v>194</v>
      </c>
      <c r="Q152" t="s">
        <v>195</v>
      </c>
      <c r="R152" t="s">
        <v>51</v>
      </c>
      <c r="S152" s="1">
        <v>52200</v>
      </c>
      <c r="T152" s="1">
        <v>52200</v>
      </c>
      <c r="U152">
        <v>0</v>
      </c>
      <c r="V152" s="1">
        <v>52146</v>
      </c>
      <c r="W152">
        <v>0.98</v>
      </c>
      <c r="X152">
        <v>0.1</v>
      </c>
      <c r="Y152" s="12">
        <v>52200</v>
      </c>
      <c r="Z152" s="12">
        <v>2.6</v>
      </c>
      <c r="AA152" s="12">
        <v>2.9</v>
      </c>
      <c r="AB152" s="12">
        <v>3</v>
      </c>
      <c r="AC152" s="12">
        <v>11.2</v>
      </c>
      <c r="AD152" s="12">
        <v>8.6</v>
      </c>
      <c r="AE152">
        <v>4.3600000000000003</v>
      </c>
      <c r="AG152">
        <v>0.191</v>
      </c>
      <c r="AH152">
        <v>3.75</v>
      </c>
      <c r="AI152">
        <v>9.25</v>
      </c>
      <c r="AK152" s="1">
        <v>6987</v>
      </c>
      <c r="AL152">
        <v>4.08</v>
      </c>
      <c r="AM152">
        <v>33.609000000000002</v>
      </c>
      <c r="AN152">
        <v>20.254000000000001</v>
      </c>
      <c r="AO152">
        <v>249.12</v>
      </c>
    </row>
    <row r="153" spans="1:41" x14ac:dyDescent="0.2">
      <c r="A153">
        <v>2023</v>
      </c>
      <c r="B153">
        <v>101582</v>
      </c>
      <c r="C153">
        <v>15</v>
      </c>
      <c r="D153" t="s">
        <v>686</v>
      </c>
      <c r="E153" t="s">
        <v>42</v>
      </c>
      <c r="F153">
        <v>322121</v>
      </c>
      <c r="G153" t="s">
        <v>687</v>
      </c>
      <c r="H153" t="s">
        <v>688</v>
      </c>
      <c r="I153" t="s">
        <v>547</v>
      </c>
      <c r="J153" t="s">
        <v>46</v>
      </c>
      <c r="K153">
        <v>93030</v>
      </c>
      <c r="L153">
        <v>34.209000000000003</v>
      </c>
      <c r="M153">
        <v>-119.142</v>
      </c>
      <c r="N153" t="s">
        <v>689</v>
      </c>
      <c r="O153" t="s">
        <v>153</v>
      </c>
      <c r="P153" t="s">
        <v>154</v>
      </c>
      <c r="Q153" t="s">
        <v>155</v>
      </c>
      <c r="R153" t="s">
        <v>51</v>
      </c>
      <c r="S153" s="1">
        <v>276119</v>
      </c>
      <c r="T153" s="1">
        <v>276119</v>
      </c>
      <c r="U153">
        <v>0</v>
      </c>
      <c r="V153" s="1">
        <v>275834</v>
      </c>
      <c r="W153">
        <v>5.2</v>
      </c>
      <c r="X153">
        <v>0.52</v>
      </c>
      <c r="Y153" s="12">
        <v>276119</v>
      </c>
      <c r="Z153" s="12">
        <v>38.700000000000003</v>
      </c>
      <c r="AA153" s="12">
        <v>93.4</v>
      </c>
      <c r="AB153" s="12">
        <v>1.5</v>
      </c>
      <c r="AC153" s="12">
        <v>25.6</v>
      </c>
      <c r="AD153" s="12">
        <v>21.1</v>
      </c>
      <c r="AE153">
        <v>22.2</v>
      </c>
      <c r="AF153">
        <v>2.0499999999999998</v>
      </c>
      <c r="AH153">
        <v>12.3</v>
      </c>
      <c r="AI153" s="1">
        <v>1092</v>
      </c>
      <c r="AL153">
        <v>0.84099999999999997</v>
      </c>
      <c r="AM153">
        <v>8.1029999999999998</v>
      </c>
      <c r="AN153">
        <v>7.8230000000000004</v>
      </c>
      <c r="AO153">
        <v>159.285</v>
      </c>
    </row>
    <row r="154" spans="1:41" x14ac:dyDescent="0.2">
      <c r="A154">
        <v>2023</v>
      </c>
      <c r="B154">
        <v>101607</v>
      </c>
      <c r="C154">
        <v>16151</v>
      </c>
      <c r="D154" t="s">
        <v>690</v>
      </c>
      <c r="E154" t="s">
        <v>42</v>
      </c>
      <c r="F154">
        <v>221330</v>
      </c>
      <c r="G154" t="s">
        <v>222</v>
      </c>
      <c r="H154" t="s">
        <v>691</v>
      </c>
      <c r="I154" t="s">
        <v>366</v>
      </c>
      <c r="J154" t="s">
        <v>46</v>
      </c>
      <c r="K154">
        <v>94103</v>
      </c>
      <c r="L154">
        <v>37.781999999999996</v>
      </c>
      <c r="M154">
        <v>-122.40900000000001</v>
      </c>
      <c r="N154" t="s">
        <v>692</v>
      </c>
      <c r="O154" t="s">
        <v>366</v>
      </c>
      <c r="P154" t="s">
        <v>108</v>
      </c>
      <c r="Q154" t="s">
        <v>109</v>
      </c>
      <c r="R154" t="s">
        <v>75</v>
      </c>
      <c r="S154" s="1">
        <v>59212</v>
      </c>
      <c r="T154" s="1">
        <v>59212</v>
      </c>
      <c r="U154">
        <v>0</v>
      </c>
      <c r="V154" s="1">
        <v>59151</v>
      </c>
      <c r="W154">
        <v>1.1200000000000001</v>
      </c>
      <c r="X154">
        <v>0.11</v>
      </c>
      <c r="Y154" s="12">
        <v>0</v>
      </c>
      <c r="Z154" s="12">
        <v>2.2000000000000002</v>
      </c>
      <c r="AA154" s="12">
        <v>8.3000000000000007</v>
      </c>
      <c r="AB154" s="12">
        <v>0.3</v>
      </c>
      <c r="AC154" s="12">
        <v>1.7</v>
      </c>
      <c r="AD154" s="12">
        <v>1.7</v>
      </c>
      <c r="AE154">
        <v>8.42</v>
      </c>
      <c r="AG154">
        <v>0</v>
      </c>
      <c r="AH154">
        <v>6.0000000000000001E-3</v>
      </c>
      <c r="AI154">
        <v>159</v>
      </c>
      <c r="AL154">
        <v>2.27</v>
      </c>
      <c r="AM154">
        <v>2.875</v>
      </c>
      <c r="AN154">
        <v>4.7300000000000004</v>
      </c>
      <c r="AO154">
        <v>58.256999999999998</v>
      </c>
    </row>
    <row r="155" spans="1:41" x14ac:dyDescent="0.2">
      <c r="A155">
        <v>2023</v>
      </c>
      <c r="B155">
        <v>101623</v>
      </c>
      <c r="C155">
        <v>55</v>
      </c>
      <c r="D155" t="s">
        <v>693</v>
      </c>
      <c r="E155" t="s">
        <v>42</v>
      </c>
      <c r="F155">
        <v>336414</v>
      </c>
      <c r="G155" t="s">
        <v>694</v>
      </c>
      <c r="H155" t="s">
        <v>695</v>
      </c>
      <c r="I155" t="s">
        <v>696</v>
      </c>
      <c r="J155" t="s">
        <v>46</v>
      </c>
      <c r="K155">
        <v>94089</v>
      </c>
      <c r="L155">
        <v>37.414000000000001</v>
      </c>
      <c r="M155">
        <v>-122.032</v>
      </c>
      <c r="N155" t="s">
        <v>370</v>
      </c>
      <c r="O155" t="s">
        <v>107</v>
      </c>
      <c r="P155" t="s">
        <v>108</v>
      </c>
      <c r="Q155" t="s">
        <v>109</v>
      </c>
      <c r="R155" t="s">
        <v>75</v>
      </c>
      <c r="S155" s="1">
        <v>17146</v>
      </c>
      <c r="T155" s="1">
        <v>17146</v>
      </c>
      <c r="U155">
        <v>0</v>
      </c>
      <c r="V155" s="1">
        <v>17128</v>
      </c>
      <c r="W155">
        <v>0.32</v>
      </c>
      <c r="X155">
        <v>0.03</v>
      </c>
      <c r="Y155" s="12">
        <v>0</v>
      </c>
      <c r="Z155" s="12">
        <v>3.8</v>
      </c>
      <c r="AA155" s="12">
        <v>5.7</v>
      </c>
      <c r="AB155" s="12">
        <v>0.1</v>
      </c>
      <c r="AC155" s="12">
        <v>0.7</v>
      </c>
      <c r="AD155" s="12">
        <v>0.7</v>
      </c>
      <c r="AE155">
        <v>0</v>
      </c>
      <c r="AG155">
        <v>0</v>
      </c>
      <c r="AH155">
        <v>0</v>
      </c>
      <c r="AI155">
        <v>0</v>
      </c>
      <c r="AL155">
        <v>0</v>
      </c>
      <c r="AM155">
        <v>0.13700000000000001</v>
      </c>
      <c r="AN155">
        <v>4.2000000000000003E-2</v>
      </c>
      <c r="AO155">
        <v>1E-3</v>
      </c>
    </row>
    <row r="156" spans="1:41" x14ac:dyDescent="0.2">
      <c r="A156">
        <v>2023</v>
      </c>
      <c r="B156">
        <v>101674</v>
      </c>
      <c r="C156">
        <v>3321</v>
      </c>
      <c r="D156" t="s">
        <v>697</v>
      </c>
      <c r="E156" t="s">
        <v>250</v>
      </c>
      <c r="F156">
        <v>211111</v>
      </c>
      <c r="G156" t="s">
        <v>256</v>
      </c>
      <c r="H156" t="s">
        <v>698</v>
      </c>
      <c r="I156" t="s">
        <v>699</v>
      </c>
      <c r="J156" t="s">
        <v>46</v>
      </c>
      <c r="K156">
        <v>93455</v>
      </c>
      <c r="L156">
        <v>34.841000000000001</v>
      </c>
      <c r="M156">
        <v>-120.41500000000001</v>
      </c>
      <c r="N156" t="s">
        <v>700</v>
      </c>
      <c r="O156" t="s">
        <v>524</v>
      </c>
      <c r="P156" t="s">
        <v>525</v>
      </c>
      <c r="Q156" t="s">
        <v>155</v>
      </c>
      <c r="R156" t="s">
        <v>51</v>
      </c>
      <c r="S156" s="1">
        <v>38339</v>
      </c>
      <c r="T156" s="1">
        <v>38339</v>
      </c>
      <c r="U156">
        <v>0</v>
      </c>
      <c r="V156" s="1">
        <v>37461</v>
      </c>
      <c r="W156">
        <v>34.4</v>
      </c>
      <c r="X156">
        <v>0.06</v>
      </c>
      <c r="Y156" s="12">
        <v>38260</v>
      </c>
      <c r="Z156" s="12">
        <v>39.799999999999997</v>
      </c>
      <c r="AA156" s="12">
        <v>116</v>
      </c>
      <c r="AB156" s="12">
        <v>6.7</v>
      </c>
      <c r="AC156" s="12">
        <v>1.6</v>
      </c>
      <c r="AD156" s="12">
        <v>1.6</v>
      </c>
      <c r="AE156" s="2">
        <v>1406.4</v>
      </c>
      <c r="AF156">
        <v>67.900000000000006</v>
      </c>
      <c r="AI156" s="2">
        <v>2103.8200000000002</v>
      </c>
      <c r="AL156">
        <v>0.65300000000000002</v>
      </c>
      <c r="AM156">
        <v>34.814</v>
      </c>
      <c r="AN156">
        <v>27.396000000000001</v>
      </c>
      <c r="AO156">
        <v>528.34799999999996</v>
      </c>
    </row>
    <row r="157" spans="1:41" x14ac:dyDescent="0.2">
      <c r="A157">
        <v>2023</v>
      </c>
      <c r="B157">
        <v>101675</v>
      </c>
      <c r="C157">
        <v>1437</v>
      </c>
      <c r="D157" t="s">
        <v>701</v>
      </c>
      <c r="E157" t="s">
        <v>250</v>
      </c>
      <c r="F157">
        <v>486210</v>
      </c>
      <c r="G157" t="s">
        <v>270</v>
      </c>
      <c r="H157" t="s">
        <v>702</v>
      </c>
      <c r="I157" t="s">
        <v>703</v>
      </c>
      <c r="J157" t="s">
        <v>46</v>
      </c>
      <c r="K157">
        <v>92225</v>
      </c>
      <c r="L157">
        <v>33.606000000000002</v>
      </c>
      <c r="M157">
        <v>-114.64400000000001</v>
      </c>
      <c r="N157" t="s">
        <v>704</v>
      </c>
      <c r="O157" t="s">
        <v>475</v>
      </c>
      <c r="P157" t="s">
        <v>58</v>
      </c>
      <c r="Q157" t="s">
        <v>59</v>
      </c>
      <c r="R157" t="s">
        <v>51</v>
      </c>
      <c r="S157" s="1">
        <v>42625</v>
      </c>
      <c r="T157" s="1">
        <v>42625</v>
      </c>
      <c r="U157">
        <v>0</v>
      </c>
      <c r="V157" s="1">
        <v>37957</v>
      </c>
      <c r="W157">
        <v>185.9</v>
      </c>
      <c r="X157">
        <v>7.0000000000000007E-2</v>
      </c>
      <c r="Y157" s="12">
        <v>37993</v>
      </c>
      <c r="Z157" s="12">
        <v>2.8</v>
      </c>
      <c r="AA157" s="12">
        <v>59.7</v>
      </c>
      <c r="AB157" s="12">
        <v>0.5</v>
      </c>
      <c r="AC157" s="12">
        <v>6.3</v>
      </c>
      <c r="AD157" s="12">
        <v>6.3</v>
      </c>
      <c r="AE157">
        <v>50.5</v>
      </c>
      <c r="AF157">
        <v>24.6</v>
      </c>
      <c r="AG157">
        <v>0</v>
      </c>
      <c r="AH157">
        <v>20</v>
      </c>
      <c r="AI157" s="1">
        <v>1082</v>
      </c>
      <c r="AJ157">
        <v>7.8E-2</v>
      </c>
      <c r="AL157">
        <v>2E-3</v>
      </c>
      <c r="AM157">
        <v>3.863</v>
      </c>
      <c r="AN157">
        <v>2.718</v>
      </c>
      <c r="AO157">
        <v>149.43899999999999</v>
      </c>
    </row>
    <row r="158" spans="1:41" x14ac:dyDescent="0.2">
      <c r="A158">
        <v>2023</v>
      </c>
      <c r="B158">
        <v>101680</v>
      </c>
      <c r="C158">
        <v>188</v>
      </c>
      <c r="D158" t="s">
        <v>705</v>
      </c>
      <c r="E158" t="s">
        <v>42</v>
      </c>
      <c r="F158">
        <v>321113</v>
      </c>
      <c r="G158" t="s">
        <v>85</v>
      </c>
      <c r="H158" t="s">
        <v>706</v>
      </c>
      <c r="I158" t="s">
        <v>707</v>
      </c>
      <c r="J158" t="s">
        <v>46</v>
      </c>
      <c r="K158">
        <v>95648</v>
      </c>
      <c r="L158">
        <v>38.904000000000003</v>
      </c>
      <c r="M158">
        <v>-121.31100000000001</v>
      </c>
      <c r="N158" t="s">
        <v>708</v>
      </c>
      <c r="O158" t="s">
        <v>709</v>
      </c>
      <c r="P158" t="s">
        <v>710</v>
      </c>
      <c r="Q158" t="s">
        <v>74</v>
      </c>
      <c r="R158" t="s">
        <v>75</v>
      </c>
      <c r="S158" s="1">
        <v>221174</v>
      </c>
      <c r="T158" s="1">
        <v>5081</v>
      </c>
      <c r="U158" s="1">
        <v>216093</v>
      </c>
      <c r="V158" s="1">
        <v>216822</v>
      </c>
      <c r="W158">
        <v>67.88</v>
      </c>
      <c r="X158">
        <v>8.91</v>
      </c>
      <c r="Y158" s="12">
        <v>0</v>
      </c>
      <c r="Z158" s="12">
        <v>1.4</v>
      </c>
      <c r="AA158" s="12">
        <v>117</v>
      </c>
      <c r="AB158" s="12">
        <v>2</v>
      </c>
      <c r="AC158" s="12">
        <v>4.5</v>
      </c>
      <c r="AD158" s="12">
        <v>4.2</v>
      </c>
    </row>
    <row r="159" spans="1:41" x14ac:dyDescent="0.2">
      <c r="A159">
        <v>2023</v>
      </c>
      <c r="B159">
        <v>101681</v>
      </c>
      <c r="C159">
        <v>39</v>
      </c>
      <c r="D159" t="s">
        <v>711</v>
      </c>
      <c r="E159" t="s">
        <v>42</v>
      </c>
      <c r="F159">
        <v>321113</v>
      </c>
      <c r="G159" t="s">
        <v>85</v>
      </c>
      <c r="H159" t="s">
        <v>712</v>
      </c>
      <c r="I159" t="s">
        <v>581</v>
      </c>
      <c r="J159" t="s">
        <v>46</v>
      </c>
      <c r="K159">
        <v>96019</v>
      </c>
      <c r="L159">
        <v>40.674999999999997</v>
      </c>
      <c r="M159">
        <v>-122.38</v>
      </c>
      <c r="N159" t="s">
        <v>713</v>
      </c>
      <c r="O159" t="s">
        <v>72</v>
      </c>
      <c r="P159" t="s">
        <v>73</v>
      </c>
      <c r="Q159" t="s">
        <v>74</v>
      </c>
      <c r="R159" t="s">
        <v>75</v>
      </c>
      <c r="S159" s="1">
        <v>45748</v>
      </c>
      <c r="T159">
        <v>979</v>
      </c>
      <c r="U159" s="1">
        <v>44769</v>
      </c>
      <c r="V159" s="1">
        <v>44769</v>
      </c>
      <c r="W159">
        <v>15.27</v>
      </c>
      <c r="X159">
        <v>2.0099999999999998</v>
      </c>
      <c r="Y159" s="12">
        <v>0</v>
      </c>
      <c r="Z159" s="12">
        <v>0.3</v>
      </c>
      <c r="AA159" s="12">
        <v>42</v>
      </c>
      <c r="AB159" s="12">
        <v>1.1000000000000001</v>
      </c>
      <c r="AC159" s="12">
        <v>70.099999999999994</v>
      </c>
      <c r="AD159" s="12">
        <v>60.6</v>
      </c>
      <c r="AE159">
        <v>0</v>
      </c>
      <c r="AF159">
        <v>0</v>
      </c>
      <c r="AG159">
        <v>0</v>
      </c>
      <c r="AI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2">
      <c r="A160">
        <v>2023</v>
      </c>
      <c r="B160">
        <v>101682</v>
      </c>
      <c r="C160">
        <v>1</v>
      </c>
      <c r="D160" t="s">
        <v>714</v>
      </c>
      <c r="E160" t="s">
        <v>42</v>
      </c>
      <c r="F160">
        <v>321113</v>
      </c>
      <c r="G160" t="s">
        <v>85</v>
      </c>
      <c r="H160" t="s">
        <v>715</v>
      </c>
      <c r="I160" t="s">
        <v>716</v>
      </c>
      <c r="J160" t="s">
        <v>46</v>
      </c>
      <c r="K160">
        <v>95370</v>
      </c>
      <c r="L160">
        <v>37.966000000000001</v>
      </c>
      <c r="M160">
        <v>-120.316</v>
      </c>
      <c r="N160" t="s">
        <v>717</v>
      </c>
      <c r="O160" t="s">
        <v>718</v>
      </c>
      <c r="P160" t="s">
        <v>719</v>
      </c>
      <c r="Q160" t="s">
        <v>469</v>
      </c>
      <c r="R160" t="s">
        <v>75</v>
      </c>
      <c r="S160" s="1">
        <v>123804</v>
      </c>
      <c r="T160" s="1">
        <v>2669</v>
      </c>
      <c r="U160" s="1">
        <v>121135</v>
      </c>
      <c r="V160" s="1">
        <v>121135</v>
      </c>
      <c r="W160">
        <v>41.63</v>
      </c>
      <c r="X160">
        <v>5.46</v>
      </c>
      <c r="Y160" s="12">
        <v>0</v>
      </c>
      <c r="Z160" s="12">
        <v>8.1999999999999993</v>
      </c>
      <c r="AA160" s="12">
        <v>153.6</v>
      </c>
      <c r="AB160" s="12">
        <v>3.9</v>
      </c>
      <c r="AC160" s="12">
        <v>16.399999999999999</v>
      </c>
      <c r="AD160" s="12">
        <v>14</v>
      </c>
    </row>
    <row r="161" spans="1:41" x14ac:dyDescent="0.2">
      <c r="A161">
        <v>2023</v>
      </c>
      <c r="B161">
        <v>101685</v>
      </c>
      <c r="C161">
        <v>6534</v>
      </c>
      <c r="D161" t="s">
        <v>720</v>
      </c>
      <c r="E161" t="s">
        <v>67</v>
      </c>
      <c r="F161">
        <v>221112</v>
      </c>
      <c r="G161" t="s">
        <v>96</v>
      </c>
      <c r="H161" t="s">
        <v>721</v>
      </c>
      <c r="I161" t="s">
        <v>722</v>
      </c>
      <c r="J161" t="s">
        <v>46</v>
      </c>
      <c r="K161">
        <v>93256</v>
      </c>
      <c r="L161">
        <v>35.994999999999997</v>
      </c>
      <c r="M161">
        <v>-119.30200000000001</v>
      </c>
      <c r="N161" t="s">
        <v>723</v>
      </c>
      <c r="O161" t="s">
        <v>392</v>
      </c>
      <c r="P161" t="s">
        <v>194</v>
      </c>
      <c r="Q161" t="s">
        <v>195</v>
      </c>
      <c r="R161" t="s">
        <v>51</v>
      </c>
      <c r="S161" s="1">
        <v>127373</v>
      </c>
      <c r="T161" s="1">
        <v>12389</v>
      </c>
      <c r="U161" s="1">
        <v>114984</v>
      </c>
      <c r="V161" s="1">
        <v>127294</v>
      </c>
      <c r="W161">
        <v>1.35</v>
      </c>
      <c r="X161">
        <v>0.15</v>
      </c>
      <c r="Y161" s="12">
        <v>12389</v>
      </c>
      <c r="Z161" s="12">
        <v>1.5</v>
      </c>
      <c r="AA161" s="12">
        <v>4.8</v>
      </c>
      <c r="AB161" s="12">
        <v>2</v>
      </c>
      <c r="AC161" s="12">
        <v>8.1</v>
      </c>
      <c r="AD161" s="12">
        <v>8.1</v>
      </c>
      <c r="AE161">
        <v>1</v>
      </c>
      <c r="AF161">
        <v>0.47399999999999998</v>
      </c>
      <c r="AI161">
        <v>22</v>
      </c>
      <c r="AM161">
        <v>1.1719999999999999</v>
      </c>
      <c r="AN161">
        <v>1.3779999999999999</v>
      </c>
      <c r="AO161">
        <v>5.1790000000000003</v>
      </c>
    </row>
    <row r="162" spans="1:41" x14ac:dyDescent="0.2">
      <c r="A162">
        <v>2023</v>
      </c>
      <c r="B162">
        <v>101691</v>
      </c>
      <c r="D162" t="s">
        <v>724</v>
      </c>
      <c r="E162" t="s">
        <v>42</v>
      </c>
      <c r="F162">
        <v>311613</v>
      </c>
      <c r="G162" t="s">
        <v>725</v>
      </c>
      <c r="H162" t="s">
        <v>726</v>
      </c>
      <c r="I162" t="s">
        <v>608</v>
      </c>
      <c r="J162" t="s">
        <v>46</v>
      </c>
      <c r="K162">
        <v>90058</v>
      </c>
      <c r="L162">
        <v>34.005000000000003</v>
      </c>
      <c r="M162">
        <v>-118.21899999999999</v>
      </c>
      <c r="N162" t="s">
        <v>609</v>
      </c>
      <c r="O162" t="s">
        <v>48</v>
      </c>
      <c r="P162" t="s">
        <v>49</v>
      </c>
      <c r="Q162" t="s">
        <v>50</v>
      </c>
      <c r="R162" t="s">
        <v>75</v>
      </c>
      <c r="S162" s="1">
        <v>2417</v>
      </c>
      <c r="T162" s="1">
        <v>2417</v>
      </c>
      <c r="U162">
        <v>0</v>
      </c>
      <c r="V162" s="1">
        <v>2414</v>
      </c>
      <c r="W162">
        <v>0.05</v>
      </c>
      <c r="X162">
        <v>0.01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</row>
    <row r="163" spans="1:41" x14ac:dyDescent="0.2">
      <c r="A163">
        <v>2023</v>
      </c>
      <c r="B163">
        <v>101693</v>
      </c>
      <c r="C163">
        <v>416</v>
      </c>
      <c r="D163" t="s">
        <v>727</v>
      </c>
      <c r="E163" t="s">
        <v>42</v>
      </c>
      <c r="F163">
        <v>311991</v>
      </c>
      <c r="G163" t="s">
        <v>728</v>
      </c>
      <c r="H163" t="s">
        <v>729</v>
      </c>
      <c r="I163" t="s">
        <v>247</v>
      </c>
      <c r="J163" t="s">
        <v>46</v>
      </c>
      <c r="K163">
        <v>93307</v>
      </c>
      <c r="L163">
        <v>35.354999999999997</v>
      </c>
      <c r="M163">
        <v>-118.92400000000001</v>
      </c>
      <c r="N163" t="s">
        <v>730</v>
      </c>
      <c r="O163" t="s">
        <v>193</v>
      </c>
      <c r="P163" t="s">
        <v>194</v>
      </c>
      <c r="Q163" t="s">
        <v>195</v>
      </c>
      <c r="R163" t="s">
        <v>51</v>
      </c>
      <c r="S163" s="1">
        <v>29361</v>
      </c>
      <c r="T163" s="1">
        <v>29361</v>
      </c>
      <c r="U163">
        <v>0</v>
      </c>
      <c r="V163" s="1">
        <v>29330</v>
      </c>
      <c r="W163">
        <v>0.55000000000000004</v>
      </c>
      <c r="X163">
        <v>0.06</v>
      </c>
      <c r="Y163" s="12">
        <v>29361</v>
      </c>
      <c r="Z163" s="12">
        <v>1</v>
      </c>
      <c r="AA163" s="12">
        <v>1.8</v>
      </c>
      <c r="AB163" s="12">
        <v>0.7</v>
      </c>
      <c r="AC163" s="12">
        <v>5.2</v>
      </c>
      <c r="AD163" s="12">
        <v>2.7</v>
      </c>
      <c r="AE163">
        <v>3.33</v>
      </c>
      <c r="AF163">
        <v>8.9999999999999993E-3</v>
      </c>
      <c r="AH163">
        <v>14.2</v>
      </c>
      <c r="AI163">
        <v>7.97</v>
      </c>
      <c r="AM163">
        <v>0.17899999999999999</v>
      </c>
      <c r="AN163">
        <v>0.20499999999999999</v>
      </c>
      <c r="AO163">
        <v>36.220999999999997</v>
      </c>
    </row>
    <row r="164" spans="1:41" x14ac:dyDescent="0.2">
      <c r="A164">
        <v>2023</v>
      </c>
      <c r="B164">
        <v>101696</v>
      </c>
      <c r="C164">
        <v>195</v>
      </c>
      <c r="D164" t="s">
        <v>731</v>
      </c>
      <c r="E164" t="s">
        <v>42</v>
      </c>
      <c r="F164">
        <v>922140</v>
      </c>
      <c r="G164" t="s">
        <v>117</v>
      </c>
      <c r="H164" t="s">
        <v>732</v>
      </c>
      <c r="I164" t="s">
        <v>675</v>
      </c>
      <c r="J164" t="s">
        <v>46</v>
      </c>
      <c r="K164">
        <v>93204</v>
      </c>
      <c r="L164">
        <v>35.970999999999997</v>
      </c>
      <c r="M164">
        <v>-120.121</v>
      </c>
      <c r="N164" t="s">
        <v>733</v>
      </c>
      <c r="O164" t="s">
        <v>418</v>
      </c>
      <c r="P164" t="s">
        <v>194</v>
      </c>
      <c r="Q164" t="s">
        <v>195</v>
      </c>
      <c r="R164" t="s">
        <v>75</v>
      </c>
      <c r="S164" s="1">
        <v>10043</v>
      </c>
      <c r="T164" s="1">
        <v>10043</v>
      </c>
      <c r="U164">
        <v>0</v>
      </c>
      <c r="V164" s="1">
        <v>10033</v>
      </c>
      <c r="W164">
        <v>0.19</v>
      </c>
      <c r="X164">
        <v>0.02</v>
      </c>
      <c r="Y164" s="12">
        <v>0</v>
      </c>
      <c r="Z164" s="12">
        <v>0.2</v>
      </c>
      <c r="AA164" s="12">
        <v>0.8</v>
      </c>
      <c r="AB164" s="12">
        <v>0.1</v>
      </c>
      <c r="AC164" s="12">
        <v>0.4</v>
      </c>
      <c r="AD164" s="12">
        <v>0.4</v>
      </c>
      <c r="AE164">
        <v>0.60899999999999999</v>
      </c>
      <c r="AF164">
        <v>0</v>
      </c>
      <c r="AH164">
        <v>153</v>
      </c>
      <c r="AI164">
        <v>0.55900000000000005</v>
      </c>
      <c r="AM164">
        <v>1.4E-2</v>
      </c>
      <c r="AN164">
        <v>0.53600000000000003</v>
      </c>
      <c r="AO164">
        <v>354.23099999999999</v>
      </c>
    </row>
    <row r="165" spans="1:41" x14ac:dyDescent="0.2">
      <c r="A165">
        <v>2023</v>
      </c>
      <c r="B165">
        <v>101697</v>
      </c>
      <c r="C165">
        <v>12428</v>
      </c>
      <c r="D165" t="s">
        <v>734</v>
      </c>
      <c r="E165" t="s">
        <v>42</v>
      </c>
      <c r="F165">
        <v>327420</v>
      </c>
      <c r="G165" t="s">
        <v>481</v>
      </c>
      <c r="H165" t="s">
        <v>735</v>
      </c>
      <c r="I165" t="s">
        <v>736</v>
      </c>
      <c r="J165" t="s">
        <v>46</v>
      </c>
      <c r="K165">
        <v>90813</v>
      </c>
      <c r="L165">
        <v>33.78</v>
      </c>
      <c r="M165">
        <v>-118.218</v>
      </c>
      <c r="N165" t="s">
        <v>737</v>
      </c>
      <c r="O165" t="s">
        <v>48</v>
      </c>
      <c r="P165" t="s">
        <v>49</v>
      </c>
      <c r="Q165" t="s">
        <v>50</v>
      </c>
      <c r="R165" t="s">
        <v>51</v>
      </c>
      <c r="S165" s="1">
        <v>37901</v>
      </c>
      <c r="T165" s="1">
        <v>37901</v>
      </c>
      <c r="U165">
        <v>0</v>
      </c>
      <c r="V165" s="1">
        <v>37862</v>
      </c>
      <c r="W165">
        <v>0.71</v>
      </c>
      <c r="X165">
        <v>7.0000000000000007E-2</v>
      </c>
      <c r="Y165" s="12">
        <v>37901</v>
      </c>
      <c r="Z165" s="12">
        <v>3.7</v>
      </c>
      <c r="AA165" s="12">
        <v>11.2</v>
      </c>
      <c r="AB165" s="12">
        <v>0.2</v>
      </c>
      <c r="AC165" s="12">
        <v>24.9</v>
      </c>
      <c r="AD165" s="12">
        <v>14</v>
      </c>
      <c r="AE165">
        <v>5.44</v>
      </c>
      <c r="AG165">
        <v>0.02</v>
      </c>
      <c r="AI165">
        <v>11.6</v>
      </c>
      <c r="AL165">
        <v>0.106</v>
      </c>
      <c r="AM165">
        <v>0.41</v>
      </c>
      <c r="AN165">
        <v>1.1020000000000001</v>
      </c>
      <c r="AO165">
        <v>27.388999999999999</v>
      </c>
    </row>
    <row r="166" spans="1:41" x14ac:dyDescent="0.2">
      <c r="A166">
        <v>2023</v>
      </c>
      <c r="B166">
        <v>101700</v>
      </c>
      <c r="C166">
        <v>173</v>
      </c>
      <c r="D166" t="s">
        <v>738</v>
      </c>
      <c r="E166" t="s">
        <v>42</v>
      </c>
      <c r="F166">
        <v>327420</v>
      </c>
      <c r="G166" t="s">
        <v>481</v>
      </c>
      <c r="H166" t="s">
        <v>739</v>
      </c>
      <c r="I166" t="s">
        <v>740</v>
      </c>
      <c r="J166" t="s">
        <v>46</v>
      </c>
      <c r="K166">
        <v>94509</v>
      </c>
      <c r="L166">
        <v>38.012999999999998</v>
      </c>
      <c r="M166">
        <v>-121.79</v>
      </c>
      <c r="N166" t="s">
        <v>741</v>
      </c>
      <c r="O166" t="s">
        <v>173</v>
      </c>
      <c r="P166" t="s">
        <v>108</v>
      </c>
      <c r="Q166" t="s">
        <v>109</v>
      </c>
      <c r="R166" t="s">
        <v>51</v>
      </c>
      <c r="S166" s="1">
        <v>36551</v>
      </c>
      <c r="T166" s="1">
        <v>36551</v>
      </c>
      <c r="U166">
        <v>0</v>
      </c>
      <c r="V166" s="1">
        <v>36514</v>
      </c>
      <c r="W166">
        <v>0.69</v>
      </c>
      <c r="X166">
        <v>7.0000000000000007E-2</v>
      </c>
      <c r="Y166" s="12">
        <v>36551</v>
      </c>
      <c r="Z166" s="12">
        <v>2</v>
      </c>
      <c r="AA166" s="12">
        <v>16.399999999999999</v>
      </c>
      <c r="AB166" s="12">
        <v>0.2</v>
      </c>
      <c r="AC166" s="12">
        <v>40.1</v>
      </c>
      <c r="AD166" s="12">
        <v>25.6</v>
      </c>
      <c r="AE166">
        <v>4.45</v>
      </c>
      <c r="AI166">
        <v>65</v>
      </c>
      <c r="AL166">
        <v>1E-3</v>
      </c>
      <c r="AM166">
        <v>0.25</v>
      </c>
      <c r="AN166">
        <v>0.16500000000000001</v>
      </c>
      <c r="AO166">
        <v>4.0540000000000003</v>
      </c>
    </row>
    <row r="167" spans="1:41" x14ac:dyDescent="0.2">
      <c r="A167">
        <v>2023</v>
      </c>
      <c r="B167">
        <v>101701</v>
      </c>
      <c r="C167">
        <v>148236</v>
      </c>
      <c r="D167" t="s">
        <v>742</v>
      </c>
      <c r="E167" t="s">
        <v>92</v>
      </c>
      <c r="F167">
        <v>325120</v>
      </c>
      <c r="G167" t="s">
        <v>93</v>
      </c>
      <c r="H167" t="s">
        <v>743</v>
      </c>
      <c r="I167" t="s">
        <v>114</v>
      </c>
      <c r="J167" t="s">
        <v>46</v>
      </c>
      <c r="K167">
        <v>90245</v>
      </c>
      <c r="L167">
        <v>33.915999999999997</v>
      </c>
      <c r="M167">
        <v>-118.419</v>
      </c>
      <c r="N167" t="s">
        <v>115</v>
      </c>
      <c r="O167" t="s">
        <v>48</v>
      </c>
      <c r="P167" t="s">
        <v>49</v>
      </c>
      <c r="Q167" t="s">
        <v>50</v>
      </c>
      <c r="R167" t="s">
        <v>51</v>
      </c>
      <c r="S167" s="1">
        <v>617079</v>
      </c>
      <c r="T167" s="1">
        <v>617079</v>
      </c>
      <c r="U167">
        <v>0</v>
      </c>
      <c r="V167" s="1">
        <v>616672</v>
      </c>
      <c r="W167">
        <v>5.46</v>
      </c>
      <c r="X167">
        <v>0.91</v>
      </c>
      <c r="Y167" s="12">
        <v>617079</v>
      </c>
      <c r="Z167" s="12">
        <v>15.4</v>
      </c>
      <c r="AA167" s="12">
        <v>14.2</v>
      </c>
      <c r="AB167" s="12">
        <v>0.7</v>
      </c>
      <c r="AC167" s="12">
        <v>7.3</v>
      </c>
      <c r="AD167" s="12">
        <v>7</v>
      </c>
      <c r="AE167">
        <v>3.57</v>
      </c>
      <c r="AF167">
        <v>1E-3</v>
      </c>
      <c r="AG167">
        <v>0.23100000000000001</v>
      </c>
      <c r="AH167">
        <v>0.20799999999999999</v>
      </c>
      <c r="AI167">
        <v>300</v>
      </c>
      <c r="AJ167">
        <v>3.5000000000000003E-2</v>
      </c>
      <c r="AK167">
        <v>71.2</v>
      </c>
      <c r="AL167">
        <v>8.27</v>
      </c>
      <c r="AM167">
        <v>14.207000000000001</v>
      </c>
      <c r="AN167">
        <v>22.314</v>
      </c>
      <c r="AO167">
        <v>543.28599999999994</v>
      </c>
    </row>
    <row r="168" spans="1:41" x14ac:dyDescent="0.2">
      <c r="A168">
        <v>2023</v>
      </c>
      <c r="B168">
        <v>101702</v>
      </c>
      <c r="C168">
        <v>29</v>
      </c>
      <c r="D168" t="s">
        <v>744</v>
      </c>
      <c r="E168" t="s">
        <v>42</v>
      </c>
      <c r="F168">
        <v>321212</v>
      </c>
      <c r="G168" t="s">
        <v>745</v>
      </c>
      <c r="H168" t="s">
        <v>746</v>
      </c>
      <c r="I168" t="s">
        <v>747</v>
      </c>
      <c r="J168" t="s">
        <v>46</v>
      </c>
      <c r="K168">
        <v>96094</v>
      </c>
      <c r="L168">
        <v>41.435000000000002</v>
      </c>
      <c r="M168">
        <v>-122.378</v>
      </c>
      <c r="N168" t="s">
        <v>748</v>
      </c>
      <c r="O168" t="s">
        <v>749</v>
      </c>
      <c r="P168" t="s">
        <v>750</v>
      </c>
      <c r="Q168" t="s">
        <v>751</v>
      </c>
      <c r="R168" t="s">
        <v>75</v>
      </c>
      <c r="S168" s="1">
        <v>128875</v>
      </c>
      <c r="T168" s="1">
        <v>3112</v>
      </c>
      <c r="U168" s="1">
        <v>125762</v>
      </c>
      <c r="V168" s="1">
        <v>126123</v>
      </c>
      <c r="W168">
        <v>42.92</v>
      </c>
      <c r="X168">
        <v>5.64</v>
      </c>
      <c r="Y168" s="12">
        <v>0</v>
      </c>
      <c r="Z168" s="12">
        <v>40.6</v>
      </c>
      <c r="AA168" s="12">
        <v>122</v>
      </c>
      <c r="AB168" s="12">
        <v>24.9</v>
      </c>
      <c r="AC168" s="12">
        <v>68.3</v>
      </c>
      <c r="AD168" s="12">
        <v>32</v>
      </c>
      <c r="AE168">
        <v>29.7</v>
      </c>
      <c r="AG168">
        <v>9.6000000000000002E-2</v>
      </c>
      <c r="AH168">
        <v>52.3</v>
      </c>
      <c r="AI168" s="1">
        <v>16047</v>
      </c>
      <c r="AL168">
        <v>5.88</v>
      </c>
      <c r="AM168">
        <v>68.923000000000002</v>
      </c>
      <c r="AN168">
        <v>118.78700000000001</v>
      </c>
      <c r="AO168" s="2">
        <v>1468.21</v>
      </c>
    </row>
    <row r="169" spans="1:41" x14ac:dyDescent="0.2">
      <c r="A169">
        <v>2023</v>
      </c>
      <c r="B169">
        <v>101703</v>
      </c>
      <c r="C169">
        <v>39</v>
      </c>
      <c r="D169" t="s">
        <v>752</v>
      </c>
      <c r="E169" t="s">
        <v>250</v>
      </c>
      <c r="F169">
        <v>211112</v>
      </c>
      <c r="G169" t="s">
        <v>251</v>
      </c>
      <c r="H169" t="s">
        <v>753</v>
      </c>
      <c r="I169" t="s">
        <v>754</v>
      </c>
      <c r="J169" t="s">
        <v>46</v>
      </c>
      <c r="K169">
        <v>93276</v>
      </c>
      <c r="L169">
        <v>35.200000000000003</v>
      </c>
      <c r="M169">
        <v>-119.2</v>
      </c>
      <c r="N169" t="s">
        <v>755</v>
      </c>
      <c r="O169" t="s">
        <v>193</v>
      </c>
      <c r="P169" t="s">
        <v>194</v>
      </c>
      <c r="Q169" t="s">
        <v>195</v>
      </c>
      <c r="R169" t="s">
        <v>51</v>
      </c>
      <c r="S169" s="1">
        <v>31064</v>
      </c>
      <c r="T169" s="1">
        <v>31064</v>
      </c>
      <c r="U169">
        <v>0</v>
      </c>
      <c r="V169" s="1">
        <v>30819</v>
      </c>
      <c r="W169">
        <v>8.82</v>
      </c>
      <c r="X169">
        <v>0.08</v>
      </c>
      <c r="Y169" s="12">
        <v>30860</v>
      </c>
      <c r="Z169" s="12">
        <v>0.2</v>
      </c>
      <c r="AA169" s="12">
        <v>1.8</v>
      </c>
      <c r="AB169" s="12">
        <v>0.8</v>
      </c>
      <c r="AC169" s="12">
        <v>3.1</v>
      </c>
      <c r="AD169" s="12">
        <v>3</v>
      </c>
      <c r="AE169">
        <v>0.51200000000000001</v>
      </c>
      <c r="AF169">
        <v>0.23300000000000001</v>
      </c>
      <c r="AH169">
        <v>0.90900000000000003</v>
      </c>
      <c r="AI169">
        <v>10.9</v>
      </c>
      <c r="AK169">
        <v>2.4E-2</v>
      </c>
      <c r="AM169">
        <v>0.64300000000000002</v>
      </c>
      <c r="AN169">
        <v>0.54500000000000004</v>
      </c>
      <c r="AO169">
        <v>9.9700000000000006</v>
      </c>
    </row>
    <row r="170" spans="1:41" x14ac:dyDescent="0.2">
      <c r="A170">
        <v>2023</v>
      </c>
      <c r="B170">
        <v>101705</v>
      </c>
      <c r="C170">
        <v>3550</v>
      </c>
      <c r="D170" t="s">
        <v>756</v>
      </c>
      <c r="E170" t="s">
        <v>42</v>
      </c>
      <c r="F170">
        <v>311421</v>
      </c>
      <c r="G170" t="s">
        <v>281</v>
      </c>
      <c r="H170" t="s">
        <v>757</v>
      </c>
      <c r="I170" t="s">
        <v>758</v>
      </c>
      <c r="J170" t="s">
        <v>46</v>
      </c>
      <c r="K170">
        <v>93206</v>
      </c>
      <c r="L170">
        <v>35.396000000000001</v>
      </c>
      <c r="M170">
        <v>-119.41</v>
      </c>
      <c r="N170" t="s">
        <v>442</v>
      </c>
      <c r="O170" t="s">
        <v>193</v>
      </c>
      <c r="P170" t="s">
        <v>194</v>
      </c>
      <c r="Q170" t="s">
        <v>195</v>
      </c>
      <c r="R170" t="s">
        <v>51</v>
      </c>
      <c r="S170" s="1">
        <v>43938</v>
      </c>
      <c r="T170" s="1">
        <v>43938</v>
      </c>
      <c r="U170">
        <v>0</v>
      </c>
      <c r="V170" s="1">
        <v>43893</v>
      </c>
      <c r="W170">
        <v>0.83</v>
      </c>
      <c r="X170">
        <v>0.08</v>
      </c>
      <c r="Y170" s="12">
        <v>43938</v>
      </c>
      <c r="Z170" s="12">
        <v>2.2999999999999998</v>
      </c>
      <c r="AA170" s="12">
        <v>1.4</v>
      </c>
      <c r="AB170" s="12">
        <v>1.1000000000000001</v>
      </c>
      <c r="AC170" s="12">
        <v>3.9</v>
      </c>
      <c r="AD170" s="12">
        <v>3.3</v>
      </c>
      <c r="AE170">
        <v>1.72</v>
      </c>
      <c r="AG170">
        <v>8.0000000000000002E-3</v>
      </c>
      <c r="AH170">
        <v>0.06</v>
      </c>
      <c r="AI170">
        <v>3.64</v>
      </c>
      <c r="AL170">
        <v>0.15</v>
      </c>
      <c r="AM170">
        <v>0.34200000000000003</v>
      </c>
      <c r="AN170">
        <v>0.47899999999999998</v>
      </c>
      <c r="AO170">
        <v>10.36</v>
      </c>
    </row>
    <row r="171" spans="1:41" x14ac:dyDescent="0.2">
      <c r="A171">
        <v>2023</v>
      </c>
      <c r="B171">
        <v>101708</v>
      </c>
      <c r="C171">
        <v>255</v>
      </c>
      <c r="D171" t="s">
        <v>759</v>
      </c>
      <c r="E171" t="s">
        <v>42</v>
      </c>
      <c r="F171">
        <v>541712</v>
      </c>
      <c r="G171" t="s">
        <v>760</v>
      </c>
      <c r="H171" t="s">
        <v>761</v>
      </c>
      <c r="I171" t="s">
        <v>762</v>
      </c>
      <c r="J171" t="s">
        <v>46</v>
      </c>
      <c r="K171">
        <v>94550</v>
      </c>
      <c r="L171">
        <v>37.68</v>
      </c>
      <c r="M171">
        <v>-121.699</v>
      </c>
      <c r="N171" t="s">
        <v>763</v>
      </c>
      <c r="O171" t="s">
        <v>350</v>
      </c>
      <c r="P171" t="s">
        <v>108</v>
      </c>
      <c r="Q171" t="s">
        <v>109</v>
      </c>
      <c r="R171" t="s">
        <v>75</v>
      </c>
      <c r="S171" s="1">
        <v>23563</v>
      </c>
      <c r="T171" s="1">
        <v>23563</v>
      </c>
      <c r="U171">
        <v>0</v>
      </c>
      <c r="V171" s="1">
        <v>23539</v>
      </c>
      <c r="W171">
        <v>0.44</v>
      </c>
      <c r="X171">
        <v>0.04</v>
      </c>
      <c r="Y171" s="12">
        <v>0</v>
      </c>
      <c r="Z171" s="12">
        <v>7</v>
      </c>
      <c r="AA171" s="12">
        <v>15.9</v>
      </c>
      <c r="AB171" s="12">
        <v>0.2</v>
      </c>
      <c r="AC171" s="12">
        <v>2.2999999999999998</v>
      </c>
      <c r="AD171" s="12">
        <v>2.2999999999999998</v>
      </c>
      <c r="AE171">
        <v>8.42</v>
      </c>
      <c r="AG171">
        <v>0</v>
      </c>
      <c r="AH171">
        <v>51.1</v>
      </c>
      <c r="AI171">
        <v>138</v>
      </c>
      <c r="AJ171">
        <v>3.2</v>
      </c>
      <c r="AL171">
        <v>1.31</v>
      </c>
      <c r="AM171">
        <v>2.032</v>
      </c>
      <c r="AN171">
        <v>3.1070000000000002</v>
      </c>
      <c r="AO171">
        <v>155.107</v>
      </c>
    </row>
    <row r="172" spans="1:41" x14ac:dyDescent="0.2">
      <c r="A172">
        <v>2023</v>
      </c>
      <c r="B172">
        <v>101709</v>
      </c>
      <c r="C172">
        <v>800037</v>
      </c>
      <c r="D172" t="s">
        <v>764</v>
      </c>
      <c r="E172" t="s">
        <v>42</v>
      </c>
      <c r="F172">
        <v>324199</v>
      </c>
      <c r="G172" t="s">
        <v>43</v>
      </c>
      <c r="H172" t="s">
        <v>765</v>
      </c>
      <c r="I172" t="s">
        <v>766</v>
      </c>
      <c r="J172" t="s">
        <v>46</v>
      </c>
      <c r="K172">
        <v>90222</v>
      </c>
      <c r="L172">
        <v>33.909999999999997</v>
      </c>
      <c r="M172">
        <v>-118.221</v>
      </c>
      <c r="N172" t="s">
        <v>767</v>
      </c>
      <c r="O172" t="s">
        <v>48</v>
      </c>
      <c r="P172" t="s">
        <v>49</v>
      </c>
      <c r="Q172" t="s">
        <v>50</v>
      </c>
      <c r="R172" t="s">
        <v>51</v>
      </c>
      <c r="S172" s="1">
        <v>24737</v>
      </c>
      <c r="T172" s="1">
        <v>24737</v>
      </c>
      <c r="U172">
        <v>0</v>
      </c>
      <c r="V172" s="1">
        <v>24711</v>
      </c>
      <c r="W172">
        <v>0.47</v>
      </c>
      <c r="X172">
        <v>0.05</v>
      </c>
      <c r="Y172" s="12">
        <v>24737</v>
      </c>
      <c r="Z172" s="12">
        <v>4.7</v>
      </c>
      <c r="AA172" s="12">
        <v>20</v>
      </c>
      <c r="AB172" s="12">
        <v>0.2</v>
      </c>
      <c r="AC172" s="12">
        <v>2.2999999999999998</v>
      </c>
      <c r="AD172" s="12">
        <v>2</v>
      </c>
      <c r="AE172">
        <v>6.57</v>
      </c>
      <c r="AF172">
        <v>0.432</v>
      </c>
      <c r="AG172">
        <v>4.8000000000000001E-2</v>
      </c>
      <c r="AH172">
        <v>2.69</v>
      </c>
      <c r="AI172">
        <v>8.06</v>
      </c>
      <c r="AJ172">
        <v>4.5999999999999999E-2</v>
      </c>
      <c r="AM172">
        <v>0.23699999999999999</v>
      </c>
      <c r="AN172">
        <v>0.84099999999999997</v>
      </c>
      <c r="AO172">
        <v>64.713999999999999</v>
      </c>
    </row>
    <row r="173" spans="1:41" x14ac:dyDescent="0.2">
      <c r="A173">
        <v>2023</v>
      </c>
      <c r="B173">
        <v>101715</v>
      </c>
      <c r="C173">
        <v>36</v>
      </c>
      <c r="D173" t="s">
        <v>768</v>
      </c>
      <c r="E173" t="s">
        <v>42</v>
      </c>
      <c r="F173">
        <v>327123</v>
      </c>
      <c r="G173" t="s">
        <v>769</v>
      </c>
      <c r="H173" t="s">
        <v>770</v>
      </c>
      <c r="I173" t="s">
        <v>771</v>
      </c>
      <c r="J173" t="s">
        <v>46</v>
      </c>
      <c r="K173">
        <v>93225</v>
      </c>
      <c r="L173">
        <v>34.767000000000003</v>
      </c>
      <c r="M173">
        <v>-119.045</v>
      </c>
      <c r="N173" t="s">
        <v>772</v>
      </c>
      <c r="O173" t="s">
        <v>153</v>
      </c>
      <c r="P173" t="s">
        <v>154</v>
      </c>
      <c r="Q173" t="s">
        <v>155</v>
      </c>
      <c r="R173" t="s">
        <v>51</v>
      </c>
      <c r="S173" s="1">
        <v>19033</v>
      </c>
      <c r="T173" s="1">
        <v>18980</v>
      </c>
      <c r="U173">
        <v>53</v>
      </c>
      <c r="V173" s="1">
        <v>19013</v>
      </c>
      <c r="W173">
        <v>0.35</v>
      </c>
      <c r="X173">
        <v>0.04</v>
      </c>
      <c r="Y173" s="12">
        <v>18514</v>
      </c>
      <c r="Z173" s="12">
        <v>0</v>
      </c>
      <c r="AA173" s="12">
        <v>0.3</v>
      </c>
      <c r="AB173" s="12">
        <v>41</v>
      </c>
      <c r="AC173" s="12">
        <v>10.9</v>
      </c>
      <c r="AD173" s="12">
        <v>10</v>
      </c>
      <c r="AE173">
        <v>1.7999999999999999E-2</v>
      </c>
      <c r="AI173">
        <v>3.7999999999999999E-2</v>
      </c>
      <c r="AL173">
        <v>0.28299999999999997</v>
      </c>
      <c r="AM173">
        <v>0.28100000000000003</v>
      </c>
      <c r="AN173">
        <v>9.9489999999999998</v>
      </c>
      <c r="AO173">
        <v>14.864000000000001</v>
      </c>
    </row>
    <row r="174" spans="1:41" x14ac:dyDescent="0.2">
      <c r="A174">
        <v>2023</v>
      </c>
      <c r="B174">
        <v>101716</v>
      </c>
      <c r="C174">
        <v>3955</v>
      </c>
      <c r="D174" t="s">
        <v>773</v>
      </c>
      <c r="E174" t="s">
        <v>42</v>
      </c>
      <c r="F174">
        <v>311513</v>
      </c>
      <c r="G174" t="s">
        <v>390</v>
      </c>
      <c r="H174" t="s">
        <v>774</v>
      </c>
      <c r="I174" t="s">
        <v>416</v>
      </c>
      <c r="J174" t="s">
        <v>46</v>
      </c>
      <c r="K174">
        <v>93245</v>
      </c>
      <c r="L174">
        <v>36.301000000000002</v>
      </c>
      <c r="M174">
        <v>-119.81699999999999</v>
      </c>
      <c r="N174" t="s">
        <v>417</v>
      </c>
      <c r="O174" t="s">
        <v>418</v>
      </c>
      <c r="P174" t="s">
        <v>194</v>
      </c>
      <c r="Q174" t="s">
        <v>195</v>
      </c>
      <c r="R174" t="s">
        <v>51</v>
      </c>
      <c r="S174" s="1">
        <v>51566</v>
      </c>
      <c r="T174" s="1">
        <v>51566</v>
      </c>
      <c r="U174">
        <v>0</v>
      </c>
      <c r="V174" s="1">
        <v>51512</v>
      </c>
      <c r="W174">
        <v>0.97</v>
      </c>
      <c r="X174">
        <v>0.1</v>
      </c>
      <c r="Y174" s="12">
        <v>51566</v>
      </c>
      <c r="Z174" s="12">
        <v>2.4</v>
      </c>
      <c r="AA174" s="12">
        <v>3.4</v>
      </c>
      <c r="AB174" s="12">
        <v>1.3</v>
      </c>
      <c r="AC174" s="12">
        <v>18.899999999999999</v>
      </c>
      <c r="AD174" s="12">
        <v>7.5</v>
      </c>
      <c r="AE174">
        <v>5.12</v>
      </c>
      <c r="AH174">
        <v>5.51</v>
      </c>
      <c r="AI174">
        <v>10.9</v>
      </c>
      <c r="AM174">
        <v>0.246</v>
      </c>
      <c r="AN174">
        <v>0.214</v>
      </c>
      <c r="AO174">
        <v>15.333</v>
      </c>
    </row>
    <row r="175" spans="1:41" x14ac:dyDescent="0.2">
      <c r="A175">
        <v>2023</v>
      </c>
      <c r="B175">
        <v>101721</v>
      </c>
      <c r="C175">
        <v>598</v>
      </c>
      <c r="D175" t="s">
        <v>775</v>
      </c>
      <c r="E175" t="s">
        <v>42</v>
      </c>
      <c r="F175">
        <v>327211</v>
      </c>
      <c r="G175" t="s">
        <v>648</v>
      </c>
      <c r="H175" t="s">
        <v>776</v>
      </c>
      <c r="I175" t="s">
        <v>777</v>
      </c>
      <c r="J175" t="s">
        <v>46</v>
      </c>
      <c r="K175">
        <v>93631</v>
      </c>
      <c r="L175">
        <v>36.542000000000002</v>
      </c>
      <c r="M175">
        <v>-119.581</v>
      </c>
      <c r="N175" t="s">
        <v>778</v>
      </c>
      <c r="O175" t="s">
        <v>303</v>
      </c>
      <c r="P175" t="s">
        <v>194</v>
      </c>
      <c r="Q175" t="s">
        <v>195</v>
      </c>
      <c r="R175" t="s">
        <v>51</v>
      </c>
      <c r="S175" s="1">
        <v>98600</v>
      </c>
      <c r="T175" s="1">
        <v>98600</v>
      </c>
      <c r="U175">
        <v>0</v>
      </c>
      <c r="V175" s="1">
        <v>98524</v>
      </c>
      <c r="W175">
        <v>1.38</v>
      </c>
      <c r="X175">
        <v>0.14000000000000001</v>
      </c>
      <c r="Y175" s="12">
        <v>98427</v>
      </c>
      <c r="Z175" s="12">
        <v>21.8</v>
      </c>
      <c r="AA175" s="12">
        <v>183.1</v>
      </c>
      <c r="AB175" s="12">
        <v>97</v>
      </c>
      <c r="AC175" s="12">
        <v>25.9</v>
      </c>
      <c r="AD175" s="12">
        <v>22.4</v>
      </c>
      <c r="AE175">
        <v>0.44500000000000001</v>
      </c>
      <c r="AG175">
        <v>4.78</v>
      </c>
      <c r="AH175">
        <v>39.200000000000003</v>
      </c>
      <c r="AI175">
        <v>3.27</v>
      </c>
      <c r="AL175">
        <v>1.78</v>
      </c>
      <c r="AM175">
        <v>41.515999999999998</v>
      </c>
      <c r="AN175">
        <v>20.026</v>
      </c>
      <c r="AO175" s="2">
        <v>6473.17</v>
      </c>
    </row>
    <row r="176" spans="1:41" x14ac:dyDescent="0.2">
      <c r="A176">
        <v>2023</v>
      </c>
      <c r="B176">
        <v>101733</v>
      </c>
      <c r="D176" t="s">
        <v>779</v>
      </c>
      <c r="E176" t="s">
        <v>42</v>
      </c>
      <c r="F176">
        <v>325199</v>
      </c>
      <c r="G176" t="s">
        <v>354</v>
      </c>
      <c r="H176" t="s">
        <v>780</v>
      </c>
      <c r="I176" t="s">
        <v>230</v>
      </c>
      <c r="J176" t="s">
        <v>46</v>
      </c>
      <c r="K176">
        <v>94565</v>
      </c>
      <c r="L176">
        <v>38.023000000000003</v>
      </c>
      <c r="M176">
        <v>-121.85599999999999</v>
      </c>
      <c r="N176" t="s">
        <v>781</v>
      </c>
      <c r="O176" t="s">
        <v>173</v>
      </c>
      <c r="P176" t="s">
        <v>108</v>
      </c>
      <c r="Q176" t="s">
        <v>109</v>
      </c>
      <c r="R176" t="s">
        <v>51</v>
      </c>
      <c r="S176" s="1">
        <v>26201</v>
      </c>
      <c r="T176" s="1">
        <v>26201</v>
      </c>
      <c r="U176">
        <v>0</v>
      </c>
      <c r="V176" s="1">
        <v>26174</v>
      </c>
      <c r="W176">
        <v>0.49</v>
      </c>
      <c r="X176">
        <v>0.05</v>
      </c>
      <c r="Y176" s="12">
        <v>26201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</row>
    <row r="177" spans="1:41" x14ac:dyDescent="0.2">
      <c r="A177">
        <v>2023</v>
      </c>
      <c r="B177">
        <v>101734</v>
      </c>
      <c r="C177">
        <v>22911</v>
      </c>
      <c r="D177" t="s">
        <v>782</v>
      </c>
      <c r="E177" t="s">
        <v>42</v>
      </c>
      <c r="F177">
        <v>332112</v>
      </c>
      <c r="G177" t="s">
        <v>783</v>
      </c>
      <c r="H177" t="s">
        <v>784</v>
      </c>
      <c r="I177" t="s">
        <v>356</v>
      </c>
      <c r="J177" t="s">
        <v>46</v>
      </c>
      <c r="K177">
        <v>90723</v>
      </c>
      <c r="L177">
        <v>33.895000000000003</v>
      </c>
      <c r="M177">
        <v>-118.164</v>
      </c>
      <c r="N177" t="s">
        <v>785</v>
      </c>
      <c r="O177" t="s">
        <v>48</v>
      </c>
      <c r="P177" t="s">
        <v>49</v>
      </c>
      <c r="Q177" t="s">
        <v>50</v>
      </c>
      <c r="R177" t="s">
        <v>51</v>
      </c>
      <c r="S177" s="1">
        <v>31090</v>
      </c>
      <c r="T177" s="1">
        <v>31090</v>
      </c>
      <c r="U177">
        <v>0</v>
      </c>
      <c r="V177" s="1">
        <v>31058</v>
      </c>
      <c r="W177">
        <v>0.59</v>
      </c>
      <c r="X177">
        <v>0.06</v>
      </c>
      <c r="Y177" s="12">
        <v>31090</v>
      </c>
      <c r="Z177" s="12">
        <v>8</v>
      </c>
      <c r="AA177" s="12">
        <v>21.1</v>
      </c>
      <c r="AB177" s="12">
        <v>0.2</v>
      </c>
      <c r="AC177" s="12">
        <v>2.8</v>
      </c>
      <c r="AD177" s="12">
        <v>2.6</v>
      </c>
      <c r="AE177">
        <v>12</v>
      </c>
      <c r="AF177">
        <v>0</v>
      </c>
      <c r="AG177">
        <v>1.9E-2</v>
      </c>
      <c r="AI177">
        <v>9.61</v>
      </c>
      <c r="AL177">
        <v>0.56299999999999994</v>
      </c>
      <c r="AM177">
        <v>1.1910000000000001</v>
      </c>
      <c r="AN177">
        <v>1.409</v>
      </c>
      <c r="AO177">
        <v>35.93</v>
      </c>
    </row>
    <row r="178" spans="1:41" x14ac:dyDescent="0.2">
      <c r="A178">
        <v>2023</v>
      </c>
      <c r="B178">
        <v>101736</v>
      </c>
      <c r="C178">
        <v>377</v>
      </c>
      <c r="D178" t="s">
        <v>786</v>
      </c>
      <c r="E178" t="s">
        <v>42</v>
      </c>
      <c r="F178">
        <v>311911</v>
      </c>
      <c r="G178" t="s">
        <v>787</v>
      </c>
      <c r="H178" t="s">
        <v>788</v>
      </c>
      <c r="I178" t="s">
        <v>789</v>
      </c>
      <c r="J178" t="s">
        <v>46</v>
      </c>
      <c r="K178">
        <v>93249</v>
      </c>
      <c r="L178">
        <v>35.652999999999999</v>
      </c>
      <c r="M178">
        <v>-119.89100000000001</v>
      </c>
      <c r="N178" t="s">
        <v>790</v>
      </c>
      <c r="O178" t="s">
        <v>193</v>
      </c>
      <c r="P178" t="s">
        <v>194</v>
      </c>
      <c r="Q178" t="s">
        <v>195</v>
      </c>
      <c r="R178" t="s">
        <v>51</v>
      </c>
      <c r="S178" s="1">
        <v>62984</v>
      </c>
      <c r="T178" s="1">
        <v>62984</v>
      </c>
      <c r="U178">
        <v>0</v>
      </c>
      <c r="V178" s="1">
        <v>62920</v>
      </c>
      <c r="W178">
        <v>1.1499999999999999</v>
      </c>
      <c r="X178">
        <v>0.12</v>
      </c>
      <c r="Y178" s="12">
        <v>62984</v>
      </c>
      <c r="Z178" s="12">
        <v>2.5</v>
      </c>
      <c r="AA178" s="12">
        <v>22.5</v>
      </c>
      <c r="AB178" s="12">
        <v>0.8</v>
      </c>
      <c r="AC178" s="12">
        <v>19.7</v>
      </c>
      <c r="AD178" s="12">
        <v>11.3</v>
      </c>
      <c r="AE178">
        <v>3.47</v>
      </c>
      <c r="AF178">
        <v>0</v>
      </c>
      <c r="AG178">
        <v>1.2E-2</v>
      </c>
      <c r="AH178">
        <v>5.12</v>
      </c>
      <c r="AI178">
        <v>8.91</v>
      </c>
      <c r="AL178">
        <v>0.24399999999999999</v>
      </c>
      <c r="AM178">
        <v>128.85499999999999</v>
      </c>
      <c r="AN178">
        <v>261.45299999999997</v>
      </c>
      <c r="AO178">
        <v>50.393000000000001</v>
      </c>
    </row>
    <row r="179" spans="1:41" x14ac:dyDescent="0.2">
      <c r="A179">
        <v>2023</v>
      </c>
      <c r="B179">
        <v>101745</v>
      </c>
      <c r="C179">
        <v>11218</v>
      </c>
      <c r="D179" t="s">
        <v>791</v>
      </c>
      <c r="E179" t="s">
        <v>67</v>
      </c>
      <c r="F179">
        <v>921190</v>
      </c>
      <c r="G179" t="s">
        <v>792</v>
      </c>
      <c r="H179" t="s">
        <v>793</v>
      </c>
      <c r="I179" t="s">
        <v>794</v>
      </c>
      <c r="J179" t="s">
        <v>46</v>
      </c>
      <c r="K179">
        <v>92703</v>
      </c>
      <c r="L179">
        <v>33.75</v>
      </c>
      <c r="M179">
        <v>-117.876</v>
      </c>
      <c r="N179" t="s">
        <v>795</v>
      </c>
      <c r="O179" t="s">
        <v>167</v>
      </c>
      <c r="P179" t="s">
        <v>49</v>
      </c>
      <c r="Q179" t="s">
        <v>50</v>
      </c>
      <c r="R179" t="s">
        <v>75</v>
      </c>
      <c r="S179" s="1">
        <v>30407</v>
      </c>
      <c r="T179" s="1">
        <v>30407</v>
      </c>
      <c r="U179">
        <v>0</v>
      </c>
      <c r="V179" s="1">
        <v>30376</v>
      </c>
      <c r="W179">
        <v>0.56999999999999995</v>
      </c>
      <c r="X179">
        <v>0.06</v>
      </c>
      <c r="Y179" s="12">
        <v>0</v>
      </c>
      <c r="Z179" s="12">
        <v>0.7</v>
      </c>
      <c r="AA179" s="12">
        <v>1.8</v>
      </c>
      <c r="AB179" s="12">
        <v>0.2</v>
      </c>
      <c r="AC179" s="12">
        <v>1.1000000000000001</v>
      </c>
      <c r="AD179" s="12">
        <v>1</v>
      </c>
      <c r="AE179">
        <v>0.20499999999999999</v>
      </c>
      <c r="AF179">
        <v>2.9000000000000001E-2</v>
      </c>
      <c r="AG179">
        <v>0</v>
      </c>
      <c r="AH179">
        <v>3.59</v>
      </c>
      <c r="AI179">
        <v>9.23</v>
      </c>
      <c r="AJ179">
        <v>0.02</v>
      </c>
      <c r="AL179">
        <v>0</v>
      </c>
      <c r="AM179">
        <v>0.29199999999999998</v>
      </c>
      <c r="AN179">
        <v>0.23400000000000001</v>
      </c>
      <c r="AO179">
        <v>10.212999999999999</v>
      </c>
    </row>
    <row r="180" spans="1:41" x14ac:dyDescent="0.2">
      <c r="A180">
        <v>2023</v>
      </c>
      <c r="B180">
        <v>101747</v>
      </c>
      <c r="C180">
        <v>39</v>
      </c>
      <c r="D180" t="s">
        <v>796</v>
      </c>
      <c r="E180" t="s">
        <v>250</v>
      </c>
      <c r="F180">
        <v>221210</v>
      </c>
      <c r="G180" t="s">
        <v>341</v>
      </c>
      <c r="H180" t="s">
        <v>797</v>
      </c>
      <c r="I180" t="s">
        <v>798</v>
      </c>
      <c r="J180" t="s">
        <v>46</v>
      </c>
      <c r="K180">
        <v>96035</v>
      </c>
      <c r="L180">
        <v>40.063000000000002</v>
      </c>
      <c r="M180">
        <v>-122.215</v>
      </c>
      <c r="N180" t="s">
        <v>799</v>
      </c>
      <c r="O180" t="s">
        <v>800</v>
      </c>
      <c r="P180" t="s">
        <v>801</v>
      </c>
      <c r="Q180" t="s">
        <v>74</v>
      </c>
      <c r="R180" t="s">
        <v>51</v>
      </c>
      <c r="S180" s="1">
        <v>62412</v>
      </c>
      <c r="T180" s="1">
        <v>62412</v>
      </c>
      <c r="U180">
        <v>0</v>
      </c>
      <c r="V180" s="1">
        <v>60104</v>
      </c>
      <c r="W180">
        <v>90.96</v>
      </c>
      <c r="X180">
        <v>0.11</v>
      </c>
      <c r="Y180" s="12">
        <v>60164</v>
      </c>
      <c r="Z180" s="12">
        <v>0.5</v>
      </c>
      <c r="AA180" s="12">
        <v>18.8</v>
      </c>
      <c r="AB180" s="12">
        <v>0</v>
      </c>
      <c r="AC180" s="12">
        <v>1.2</v>
      </c>
      <c r="AD180" s="12">
        <v>1.1000000000000001</v>
      </c>
      <c r="AE180">
        <v>7.9</v>
      </c>
      <c r="AF180">
        <v>7.5999999999999998E-2</v>
      </c>
      <c r="AI180">
        <v>545</v>
      </c>
      <c r="AM180">
        <v>2.552</v>
      </c>
      <c r="AN180">
        <v>1.6679999999999999</v>
      </c>
      <c r="AO180">
        <v>30.245000000000001</v>
      </c>
    </row>
    <row r="181" spans="1:41" x14ac:dyDescent="0.2">
      <c r="A181">
        <v>2023</v>
      </c>
      <c r="B181">
        <v>101749</v>
      </c>
      <c r="C181">
        <v>17419</v>
      </c>
      <c r="D181" t="s">
        <v>802</v>
      </c>
      <c r="E181" t="s">
        <v>92</v>
      </c>
      <c r="F181">
        <v>325120</v>
      </c>
      <c r="G181" t="s">
        <v>93</v>
      </c>
      <c r="H181" t="s">
        <v>803</v>
      </c>
      <c r="I181" t="s">
        <v>203</v>
      </c>
      <c r="J181" t="s">
        <v>46</v>
      </c>
      <c r="K181">
        <v>94572</v>
      </c>
      <c r="L181">
        <v>38.048000000000002</v>
      </c>
      <c r="M181">
        <v>-122.256</v>
      </c>
      <c r="N181" t="s">
        <v>204</v>
      </c>
      <c r="O181" t="s">
        <v>173</v>
      </c>
      <c r="P181" t="s">
        <v>108</v>
      </c>
      <c r="Q181" t="s">
        <v>109</v>
      </c>
      <c r="R181" t="s">
        <v>51</v>
      </c>
      <c r="S181" s="1">
        <v>821228</v>
      </c>
      <c r="T181" s="1">
        <v>808367</v>
      </c>
      <c r="U181" s="1">
        <v>12861</v>
      </c>
      <c r="V181" s="1">
        <v>820534</v>
      </c>
      <c r="W181">
        <v>8.25</v>
      </c>
      <c r="X181">
        <v>1.64</v>
      </c>
      <c r="Y181" s="12">
        <v>821228</v>
      </c>
      <c r="Z181" s="12">
        <v>0.9</v>
      </c>
      <c r="AA181" s="12">
        <v>17.7</v>
      </c>
      <c r="AB181" s="12">
        <v>2.6</v>
      </c>
      <c r="AC181" s="12">
        <v>8.5</v>
      </c>
      <c r="AD181" s="12">
        <v>8.5</v>
      </c>
      <c r="AE181">
        <v>171</v>
      </c>
      <c r="AF181">
        <v>4.1000000000000002E-2</v>
      </c>
      <c r="AG181">
        <v>0.36</v>
      </c>
      <c r="AI181">
        <v>741</v>
      </c>
      <c r="AJ181" s="1">
        <v>1485</v>
      </c>
      <c r="AK181">
        <v>147</v>
      </c>
      <c r="AL181">
        <v>9.74</v>
      </c>
      <c r="AM181">
        <v>23.567</v>
      </c>
      <c r="AN181">
        <v>41.02</v>
      </c>
      <c r="AO181">
        <v>628.56399999999996</v>
      </c>
    </row>
    <row r="182" spans="1:41" x14ac:dyDescent="0.2">
      <c r="A182">
        <v>2023</v>
      </c>
      <c r="B182">
        <v>103016</v>
      </c>
      <c r="C182">
        <v>43</v>
      </c>
      <c r="D182" t="s">
        <v>804</v>
      </c>
      <c r="E182" t="s">
        <v>250</v>
      </c>
      <c r="F182">
        <v>211111</v>
      </c>
      <c r="G182" t="s">
        <v>256</v>
      </c>
      <c r="H182" t="s">
        <v>805</v>
      </c>
      <c r="I182" t="s">
        <v>432</v>
      </c>
      <c r="J182" t="s">
        <v>46</v>
      </c>
      <c r="K182">
        <v>93401</v>
      </c>
      <c r="L182">
        <v>35.177</v>
      </c>
      <c r="M182">
        <v>-120.624</v>
      </c>
      <c r="N182" t="s">
        <v>806</v>
      </c>
      <c r="O182" t="s">
        <v>432</v>
      </c>
      <c r="P182" t="s">
        <v>433</v>
      </c>
      <c r="Q182" t="s">
        <v>155</v>
      </c>
      <c r="R182" t="s">
        <v>51</v>
      </c>
      <c r="S182" s="1">
        <v>103485</v>
      </c>
      <c r="T182" s="1">
        <v>91676</v>
      </c>
      <c r="U182" s="1">
        <v>11808</v>
      </c>
      <c r="V182" s="1">
        <v>102415</v>
      </c>
      <c r="W182">
        <v>39.58</v>
      </c>
      <c r="X182">
        <v>0.27</v>
      </c>
      <c r="Y182" s="12">
        <v>90719</v>
      </c>
      <c r="Z182" s="12">
        <v>11.1</v>
      </c>
      <c r="AA182" s="12">
        <v>10.6</v>
      </c>
      <c r="AB182" s="12">
        <v>4.3</v>
      </c>
      <c r="AC182" s="12">
        <v>4</v>
      </c>
      <c r="AD182" s="12">
        <v>4</v>
      </c>
      <c r="AE182">
        <v>10.9</v>
      </c>
      <c r="AI182">
        <v>0</v>
      </c>
      <c r="AL182">
        <v>0</v>
      </c>
      <c r="AM182">
        <v>0.90200000000000002</v>
      </c>
      <c r="AN182">
        <v>1.2130000000000001</v>
      </c>
      <c r="AO182">
        <v>12.72</v>
      </c>
    </row>
    <row r="183" spans="1:41" x14ac:dyDescent="0.2">
      <c r="A183">
        <v>2023</v>
      </c>
      <c r="B183">
        <v>103018</v>
      </c>
      <c r="C183">
        <v>1662</v>
      </c>
      <c r="D183" t="s">
        <v>807</v>
      </c>
      <c r="E183" t="s">
        <v>42</v>
      </c>
      <c r="F183">
        <v>327213</v>
      </c>
      <c r="G183" t="s">
        <v>384</v>
      </c>
      <c r="H183" t="s">
        <v>808</v>
      </c>
      <c r="I183" t="s">
        <v>333</v>
      </c>
      <c r="J183" t="s">
        <v>46</v>
      </c>
      <c r="K183">
        <v>95354</v>
      </c>
      <c r="L183">
        <v>37.628999999999998</v>
      </c>
      <c r="M183">
        <v>-120.979</v>
      </c>
      <c r="N183" t="s">
        <v>809</v>
      </c>
      <c r="O183" t="s">
        <v>335</v>
      </c>
      <c r="P183" t="s">
        <v>194</v>
      </c>
      <c r="Q183" t="s">
        <v>195</v>
      </c>
      <c r="R183" t="s">
        <v>51</v>
      </c>
      <c r="S183" s="1">
        <v>172184</v>
      </c>
      <c r="T183" s="1">
        <v>172184</v>
      </c>
      <c r="U183">
        <v>0</v>
      </c>
      <c r="V183" s="1">
        <v>172063</v>
      </c>
      <c r="W183">
        <v>2.21</v>
      </c>
      <c r="X183">
        <v>0.22</v>
      </c>
      <c r="Y183" s="12">
        <v>172184</v>
      </c>
      <c r="Z183" s="12">
        <v>1.3</v>
      </c>
      <c r="AA183" s="12">
        <v>251.8</v>
      </c>
      <c r="AB183" s="12">
        <v>212.2</v>
      </c>
      <c r="AC183" s="12">
        <v>29</v>
      </c>
      <c r="AD183" s="12">
        <v>13.7</v>
      </c>
      <c r="AE183">
        <v>0.20499999999999999</v>
      </c>
      <c r="AG183">
        <v>0.218</v>
      </c>
      <c r="AH183">
        <v>6.45</v>
      </c>
      <c r="AI183">
        <v>0.436</v>
      </c>
      <c r="AL183">
        <v>11.2</v>
      </c>
      <c r="AM183">
        <v>30.09</v>
      </c>
      <c r="AN183">
        <v>41.673000000000002</v>
      </c>
      <c r="AO183">
        <v>918.60599999999999</v>
      </c>
    </row>
    <row r="184" spans="1:41" x14ac:dyDescent="0.2">
      <c r="A184">
        <v>2023</v>
      </c>
      <c r="B184">
        <v>104004</v>
      </c>
      <c r="C184">
        <v>705</v>
      </c>
      <c r="D184" t="s">
        <v>810</v>
      </c>
      <c r="E184" t="s">
        <v>42</v>
      </c>
      <c r="F184">
        <v>325311</v>
      </c>
      <c r="G184" t="s">
        <v>811</v>
      </c>
      <c r="H184" t="s">
        <v>812</v>
      </c>
      <c r="I184" t="s">
        <v>813</v>
      </c>
      <c r="J184" t="s">
        <v>46</v>
      </c>
      <c r="K184">
        <v>93627</v>
      </c>
      <c r="L184">
        <v>36.542000000000002</v>
      </c>
      <c r="M184">
        <v>-120.104</v>
      </c>
      <c r="N184" t="s">
        <v>814</v>
      </c>
      <c r="O184" t="s">
        <v>303</v>
      </c>
      <c r="P184" t="s">
        <v>194</v>
      </c>
      <c r="Q184" t="s">
        <v>195</v>
      </c>
      <c r="R184" t="s">
        <v>75</v>
      </c>
      <c r="S184" s="1">
        <v>10001</v>
      </c>
      <c r="T184" s="1">
        <v>10001</v>
      </c>
      <c r="U184">
        <v>0</v>
      </c>
      <c r="V184" s="1">
        <v>6554</v>
      </c>
      <c r="W184">
        <v>0.3</v>
      </c>
      <c r="X184">
        <v>11.54</v>
      </c>
      <c r="Y184" s="12">
        <v>0</v>
      </c>
      <c r="Z184" s="12">
        <v>124.8</v>
      </c>
      <c r="AA184" s="12">
        <v>12.6</v>
      </c>
      <c r="AB184" s="12">
        <v>0.2</v>
      </c>
      <c r="AC184" s="12">
        <v>6</v>
      </c>
      <c r="AD184" s="12">
        <v>5.8</v>
      </c>
      <c r="AE184">
        <v>3.5000000000000003E-2</v>
      </c>
      <c r="AH184">
        <v>0.40500000000000003</v>
      </c>
      <c r="AI184">
        <v>4.5999999999999999E-2</v>
      </c>
      <c r="AL184">
        <v>4.2000000000000003E-2</v>
      </c>
      <c r="AM184">
        <v>4.63</v>
      </c>
      <c r="AN184">
        <v>5.9130000000000003</v>
      </c>
      <c r="AO184">
        <v>1.9410000000000001</v>
      </c>
    </row>
    <row r="185" spans="1:41" x14ac:dyDescent="0.2">
      <c r="A185">
        <v>2023</v>
      </c>
      <c r="B185">
        <v>104005</v>
      </c>
      <c r="C185">
        <v>44</v>
      </c>
      <c r="D185" t="s">
        <v>815</v>
      </c>
      <c r="E185" t="s">
        <v>111</v>
      </c>
      <c r="F185">
        <v>324110</v>
      </c>
      <c r="G185" t="s">
        <v>112</v>
      </c>
      <c r="H185" t="s">
        <v>816</v>
      </c>
      <c r="I185" t="s">
        <v>247</v>
      </c>
      <c r="J185" t="s">
        <v>46</v>
      </c>
      <c r="K185">
        <v>93308</v>
      </c>
      <c r="L185">
        <v>35.418999999999997</v>
      </c>
      <c r="M185">
        <v>-119.01</v>
      </c>
      <c r="N185" t="s">
        <v>248</v>
      </c>
      <c r="O185" t="s">
        <v>193</v>
      </c>
      <c r="P185" t="s">
        <v>194</v>
      </c>
      <c r="Q185" t="s">
        <v>195</v>
      </c>
      <c r="R185" t="s">
        <v>51</v>
      </c>
      <c r="S185" s="1">
        <v>35070</v>
      </c>
      <c r="T185" s="1">
        <v>35070</v>
      </c>
      <c r="U185">
        <v>0</v>
      </c>
      <c r="V185" s="1">
        <v>34741</v>
      </c>
      <c r="W185">
        <v>12.49</v>
      </c>
      <c r="X185">
        <v>0.06</v>
      </c>
      <c r="Y185" s="12">
        <v>29838</v>
      </c>
      <c r="Z185" s="12">
        <v>7.5</v>
      </c>
      <c r="AA185" s="12">
        <v>9.1</v>
      </c>
      <c r="AB185" s="12">
        <v>0.2</v>
      </c>
      <c r="AC185" s="12">
        <v>1.1000000000000001</v>
      </c>
      <c r="AD185" s="12">
        <v>1.1000000000000001</v>
      </c>
      <c r="AE185">
        <v>10.5</v>
      </c>
      <c r="AH185">
        <v>2.0699999999999998</v>
      </c>
      <c r="AI185">
        <v>6.71</v>
      </c>
      <c r="AK185">
        <v>13.3</v>
      </c>
      <c r="AM185">
        <v>0.247</v>
      </c>
      <c r="AN185">
        <v>0.30499999999999999</v>
      </c>
      <c r="AO185">
        <v>25.023</v>
      </c>
    </row>
    <row r="186" spans="1:41" x14ac:dyDescent="0.2">
      <c r="A186">
        <v>2023</v>
      </c>
      <c r="B186">
        <v>104009</v>
      </c>
      <c r="C186">
        <v>11</v>
      </c>
      <c r="D186" t="s">
        <v>817</v>
      </c>
      <c r="E186" t="s">
        <v>67</v>
      </c>
      <c r="F186">
        <v>221112</v>
      </c>
      <c r="G186" t="s">
        <v>96</v>
      </c>
      <c r="H186" t="s">
        <v>818</v>
      </c>
      <c r="I186" t="s">
        <v>819</v>
      </c>
      <c r="J186" t="s">
        <v>46</v>
      </c>
      <c r="K186">
        <v>96130</v>
      </c>
      <c r="L186">
        <v>40.404000000000003</v>
      </c>
      <c r="M186">
        <v>-120.482</v>
      </c>
      <c r="N186" t="s">
        <v>820</v>
      </c>
      <c r="O186" t="s">
        <v>821</v>
      </c>
      <c r="P186" t="s">
        <v>822</v>
      </c>
      <c r="Q186" t="s">
        <v>751</v>
      </c>
      <c r="R186" t="s">
        <v>75</v>
      </c>
      <c r="S186" s="1">
        <v>18732</v>
      </c>
      <c r="T186" s="1">
        <v>18732</v>
      </c>
      <c r="U186">
        <v>0</v>
      </c>
      <c r="V186" s="1">
        <v>18712</v>
      </c>
      <c r="W186">
        <v>0.35</v>
      </c>
      <c r="X186">
        <v>0.04</v>
      </c>
      <c r="Y186" s="12">
        <v>0</v>
      </c>
      <c r="Z186" s="12">
        <v>0.8</v>
      </c>
      <c r="AA186" s="12">
        <v>27</v>
      </c>
      <c r="AB186" s="12">
        <v>18</v>
      </c>
      <c r="AC186" s="12">
        <v>8.6999999999999993</v>
      </c>
      <c r="AD186" s="12">
        <v>7.6</v>
      </c>
    </row>
    <row r="187" spans="1:41" x14ac:dyDescent="0.2">
      <c r="A187">
        <v>2023</v>
      </c>
      <c r="B187">
        <v>104011</v>
      </c>
      <c r="C187">
        <v>272</v>
      </c>
      <c r="D187" t="s">
        <v>823</v>
      </c>
      <c r="E187" t="s">
        <v>250</v>
      </c>
      <c r="F187">
        <v>211111</v>
      </c>
      <c r="G187" t="s">
        <v>256</v>
      </c>
      <c r="H187" t="s">
        <v>824</v>
      </c>
      <c r="I187" t="s">
        <v>825</v>
      </c>
      <c r="J187" t="s">
        <v>46</v>
      </c>
      <c r="K187">
        <v>94583</v>
      </c>
      <c r="L187">
        <v>35.951999999999998</v>
      </c>
      <c r="M187">
        <v>-120.861</v>
      </c>
      <c r="N187" t="s">
        <v>655</v>
      </c>
      <c r="O187" t="s">
        <v>656</v>
      </c>
      <c r="P187" t="s">
        <v>187</v>
      </c>
      <c r="Q187" t="s">
        <v>188</v>
      </c>
      <c r="R187" t="s">
        <v>51</v>
      </c>
      <c r="S187" s="1">
        <v>104388</v>
      </c>
      <c r="T187" s="1">
        <v>104388</v>
      </c>
      <c r="U187">
        <v>0</v>
      </c>
      <c r="V187" s="1">
        <v>103806</v>
      </c>
      <c r="W187">
        <v>20.99</v>
      </c>
      <c r="X187">
        <v>0.19</v>
      </c>
      <c r="Y187" s="12">
        <v>103750</v>
      </c>
      <c r="Z187" s="12">
        <v>6.8</v>
      </c>
      <c r="AA187" s="12">
        <v>11.5</v>
      </c>
      <c r="AB187" s="12">
        <v>0.3</v>
      </c>
      <c r="AC187" s="12">
        <v>2.9</v>
      </c>
      <c r="AD187" s="12">
        <v>2.9</v>
      </c>
      <c r="AE187">
        <v>29.6</v>
      </c>
      <c r="AH187">
        <v>73.2</v>
      </c>
      <c r="AI187">
        <v>35.200000000000003</v>
      </c>
      <c r="AK187">
        <v>508</v>
      </c>
      <c r="AM187">
        <v>2.9409999999999998</v>
      </c>
      <c r="AN187">
        <v>1.774</v>
      </c>
      <c r="AO187">
        <v>179.816</v>
      </c>
    </row>
    <row r="188" spans="1:41" x14ac:dyDescent="0.2">
      <c r="A188">
        <v>2023</v>
      </c>
      <c r="B188">
        <v>104012</v>
      </c>
      <c r="C188">
        <v>8084</v>
      </c>
      <c r="D188" t="s">
        <v>826</v>
      </c>
      <c r="E188" t="s">
        <v>250</v>
      </c>
      <c r="F188">
        <v>211111</v>
      </c>
      <c r="G188" t="s">
        <v>256</v>
      </c>
      <c r="H188" t="s">
        <v>824</v>
      </c>
      <c r="I188" t="s">
        <v>825</v>
      </c>
      <c r="J188" t="s">
        <v>46</v>
      </c>
      <c r="K188">
        <v>94583</v>
      </c>
      <c r="L188">
        <v>35.454999999999998</v>
      </c>
      <c r="M188">
        <v>-119.002</v>
      </c>
      <c r="N188" t="s">
        <v>248</v>
      </c>
      <c r="O188" t="s">
        <v>193</v>
      </c>
      <c r="P188" t="s">
        <v>194</v>
      </c>
      <c r="Q188" t="s">
        <v>195</v>
      </c>
      <c r="R188" t="s">
        <v>51</v>
      </c>
      <c r="S188" s="1">
        <v>1354693</v>
      </c>
      <c r="T188" s="1">
        <v>1354693</v>
      </c>
      <c r="U188">
        <v>0</v>
      </c>
      <c r="V188" s="1">
        <v>1341589</v>
      </c>
      <c r="W188">
        <v>494.85</v>
      </c>
      <c r="X188">
        <v>2.46</v>
      </c>
      <c r="Y188" s="12">
        <v>1343198</v>
      </c>
      <c r="Z188" s="12">
        <v>50.6</v>
      </c>
      <c r="AA188" s="12">
        <v>68.900000000000006</v>
      </c>
      <c r="AB188" s="12">
        <v>30.2</v>
      </c>
      <c r="AC188" s="12">
        <v>42.3</v>
      </c>
      <c r="AD188" s="12">
        <v>42.2</v>
      </c>
      <c r="AE188">
        <v>217.429</v>
      </c>
      <c r="AF188">
        <v>1.9E-2</v>
      </c>
      <c r="AH188">
        <v>30.364000000000001</v>
      </c>
      <c r="AI188">
        <v>248.357</v>
      </c>
      <c r="AK188" s="2">
        <v>1104.5930000000001</v>
      </c>
      <c r="AM188">
        <v>10.539</v>
      </c>
      <c r="AN188">
        <v>6.5279999999999996</v>
      </c>
      <c r="AO188">
        <v>144.34</v>
      </c>
    </row>
    <row r="189" spans="1:41" x14ac:dyDescent="0.2">
      <c r="A189">
        <v>2023</v>
      </c>
      <c r="B189">
        <v>104014</v>
      </c>
      <c r="C189">
        <v>2234</v>
      </c>
      <c r="D189" t="s">
        <v>827</v>
      </c>
      <c r="E189" t="s">
        <v>250</v>
      </c>
      <c r="F189">
        <v>211111</v>
      </c>
      <c r="G189" t="s">
        <v>256</v>
      </c>
      <c r="H189" t="s">
        <v>828</v>
      </c>
      <c r="I189" t="s">
        <v>754</v>
      </c>
      <c r="J189" t="s">
        <v>46</v>
      </c>
      <c r="K189">
        <v>93276</v>
      </c>
      <c r="L189">
        <v>35.241</v>
      </c>
      <c r="M189">
        <v>-119.361</v>
      </c>
      <c r="N189" t="s">
        <v>192</v>
      </c>
      <c r="O189" t="s">
        <v>193</v>
      </c>
      <c r="P189" t="s">
        <v>194</v>
      </c>
      <c r="Q189" t="s">
        <v>195</v>
      </c>
      <c r="R189" t="s">
        <v>51</v>
      </c>
      <c r="S189" s="1">
        <v>1697383</v>
      </c>
      <c r="T189" s="1">
        <v>1697383</v>
      </c>
      <c r="U189">
        <v>0</v>
      </c>
      <c r="V189" s="1">
        <v>1692236</v>
      </c>
      <c r="W189">
        <v>171.47</v>
      </c>
      <c r="X189">
        <v>2.89</v>
      </c>
      <c r="Y189" s="12">
        <v>1696101</v>
      </c>
      <c r="Z189" s="12">
        <v>7.2</v>
      </c>
      <c r="AA189" s="12">
        <v>14.2</v>
      </c>
      <c r="AB189" s="12">
        <v>0.5</v>
      </c>
      <c r="AC189" s="12">
        <v>1.1000000000000001</v>
      </c>
      <c r="AD189" s="12">
        <v>1.1000000000000001</v>
      </c>
      <c r="AE189">
        <v>371</v>
      </c>
      <c r="AF189">
        <v>148</v>
      </c>
      <c r="AH189">
        <v>5.2999999999999999E-2</v>
      </c>
      <c r="AI189" s="1">
        <v>9106</v>
      </c>
      <c r="AK189">
        <v>0.23200000000000001</v>
      </c>
      <c r="AM189">
        <v>98.087000000000003</v>
      </c>
      <c r="AN189">
        <v>68.802000000000007</v>
      </c>
      <c r="AO189">
        <v>833.53</v>
      </c>
    </row>
    <row r="190" spans="1:41" x14ac:dyDescent="0.2">
      <c r="A190">
        <v>2023</v>
      </c>
      <c r="B190">
        <v>104016</v>
      </c>
      <c r="C190">
        <v>1135</v>
      </c>
      <c r="D190" t="s">
        <v>829</v>
      </c>
      <c r="E190" t="s">
        <v>250</v>
      </c>
      <c r="F190">
        <v>211111</v>
      </c>
      <c r="G190" t="s">
        <v>256</v>
      </c>
      <c r="H190" t="s">
        <v>830</v>
      </c>
      <c r="I190" t="s">
        <v>247</v>
      </c>
      <c r="J190" t="s">
        <v>46</v>
      </c>
      <c r="K190">
        <v>93311</v>
      </c>
      <c r="L190">
        <v>35.341000000000001</v>
      </c>
      <c r="M190">
        <v>-119.113</v>
      </c>
      <c r="N190" t="s">
        <v>831</v>
      </c>
      <c r="O190" t="s">
        <v>193</v>
      </c>
      <c r="P190" t="s">
        <v>194</v>
      </c>
      <c r="Q190" t="s">
        <v>195</v>
      </c>
      <c r="R190" t="s">
        <v>51</v>
      </c>
      <c r="S190" s="1">
        <v>2481467</v>
      </c>
      <c r="T190" s="1">
        <v>2481467</v>
      </c>
      <c r="U190">
        <v>0</v>
      </c>
      <c r="V190" s="1">
        <v>2469560</v>
      </c>
      <c r="W190">
        <v>425.93</v>
      </c>
      <c r="X190">
        <v>4.2300000000000004</v>
      </c>
      <c r="Y190" s="12">
        <v>2465750</v>
      </c>
      <c r="Z190" s="12">
        <v>53.5</v>
      </c>
      <c r="AA190" s="12">
        <v>213.3</v>
      </c>
      <c r="AB190" s="12">
        <v>16.8</v>
      </c>
      <c r="AC190" s="12">
        <v>43.2</v>
      </c>
      <c r="AD190" s="12">
        <v>43.1</v>
      </c>
      <c r="AE190">
        <v>528.65</v>
      </c>
      <c r="AF190">
        <v>37.880000000000003</v>
      </c>
      <c r="AH190">
        <v>28.17</v>
      </c>
      <c r="AI190" s="1">
        <v>3019</v>
      </c>
      <c r="AK190" s="1">
        <v>8262</v>
      </c>
      <c r="AM190">
        <v>105.176</v>
      </c>
      <c r="AN190">
        <v>66.305000000000007</v>
      </c>
      <c r="AO190">
        <v>452.78199999999998</v>
      </c>
    </row>
    <row r="191" spans="1:41" x14ac:dyDescent="0.2">
      <c r="A191">
        <v>2023</v>
      </c>
      <c r="B191">
        <v>104017</v>
      </c>
      <c r="C191">
        <v>41</v>
      </c>
      <c r="D191" t="s">
        <v>832</v>
      </c>
      <c r="E191" t="s">
        <v>250</v>
      </c>
      <c r="F191">
        <v>211111</v>
      </c>
      <c r="G191" t="s">
        <v>256</v>
      </c>
      <c r="H191" t="s">
        <v>833</v>
      </c>
      <c r="I191" t="s">
        <v>153</v>
      </c>
      <c r="J191" t="s">
        <v>46</v>
      </c>
      <c r="K191">
        <v>93301</v>
      </c>
      <c r="L191">
        <v>34.314</v>
      </c>
      <c r="M191">
        <v>-119.289</v>
      </c>
      <c r="N191" t="s">
        <v>834</v>
      </c>
      <c r="O191" t="s">
        <v>153</v>
      </c>
      <c r="P191" t="s">
        <v>154</v>
      </c>
      <c r="Q191" t="s">
        <v>155</v>
      </c>
      <c r="R191" t="s">
        <v>51</v>
      </c>
      <c r="S191" s="1">
        <v>25576</v>
      </c>
      <c r="T191" s="1">
        <v>25576</v>
      </c>
      <c r="U191">
        <v>0</v>
      </c>
      <c r="V191" s="1">
        <v>21198</v>
      </c>
      <c r="W191">
        <v>174.54</v>
      </c>
      <c r="X191">
        <v>0.05</v>
      </c>
      <c r="Y191" s="12">
        <v>22532</v>
      </c>
      <c r="Z191" s="12">
        <v>32.200000000000003</v>
      </c>
      <c r="AA191" s="12">
        <v>10.5</v>
      </c>
      <c r="AB191" s="12">
        <v>8</v>
      </c>
      <c r="AC191" s="12">
        <v>1.1000000000000001</v>
      </c>
      <c r="AD191" s="12">
        <v>1</v>
      </c>
      <c r="AE191">
        <v>844</v>
      </c>
      <c r="AF191">
        <v>13.1</v>
      </c>
      <c r="AH191">
        <v>0.57099999999999995</v>
      </c>
      <c r="AI191" s="1">
        <v>2260</v>
      </c>
      <c r="AK191" s="1">
        <v>1672</v>
      </c>
      <c r="AL191">
        <v>0</v>
      </c>
      <c r="AM191">
        <v>19.344000000000001</v>
      </c>
      <c r="AN191">
        <v>12.212999999999999</v>
      </c>
      <c r="AO191">
        <v>358.61399999999998</v>
      </c>
    </row>
    <row r="192" spans="1:41" x14ac:dyDescent="0.2">
      <c r="A192">
        <v>2023</v>
      </c>
      <c r="B192">
        <v>104018</v>
      </c>
      <c r="C192">
        <v>23</v>
      </c>
      <c r="D192" t="s">
        <v>835</v>
      </c>
      <c r="E192" t="s">
        <v>250</v>
      </c>
      <c r="F192">
        <v>211111</v>
      </c>
      <c r="G192" t="s">
        <v>256</v>
      </c>
      <c r="H192" t="s">
        <v>836</v>
      </c>
      <c r="I192" t="s">
        <v>654</v>
      </c>
      <c r="J192" t="s">
        <v>46</v>
      </c>
      <c r="K192">
        <v>93450</v>
      </c>
      <c r="L192">
        <v>35.984000000000002</v>
      </c>
      <c r="M192">
        <v>-120.79300000000001</v>
      </c>
      <c r="N192" t="s">
        <v>655</v>
      </c>
      <c r="O192" t="s">
        <v>656</v>
      </c>
      <c r="P192" t="s">
        <v>187</v>
      </c>
      <c r="Q192" t="s">
        <v>188</v>
      </c>
      <c r="R192" t="s">
        <v>51</v>
      </c>
      <c r="S192" s="1">
        <v>298138</v>
      </c>
      <c r="T192" s="1">
        <v>298138</v>
      </c>
      <c r="U192">
        <v>0</v>
      </c>
      <c r="V192" s="1">
        <v>297335</v>
      </c>
      <c r="W192">
        <v>25.47</v>
      </c>
      <c r="X192">
        <v>0.56000000000000005</v>
      </c>
      <c r="Y192" s="12">
        <v>297340</v>
      </c>
      <c r="Z192" s="12">
        <v>1.2</v>
      </c>
      <c r="AA192" s="12">
        <v>52.5</v>
      </c>
      <c r="AB192" s="12">
        <v>0.8</v>
      </c>
      <c r="AC192" s="12">
        <v>39.6</v>
      </c>
      <c r="AD192" s="12">
        <v>39.6</v>
      </c>
      <c r="AE192">
        <v>13.9</v>
      </c>
      <c r="AI192">
        <v>234</v>
      </c>
      <c r="AK192">
        <v>842</v>
      </c>
      <c r="AM192">
        <v>4.2850000000000001</v>
      </c>
      <c r="AN192">
        <v>2.0089999999999999</v>
      </c>
      <c r="AO192">
        <v>19.276</v>
      </c>
    </row>
    <row r="193" spans="1:41" x14ac:dyDescent="0.2">
      <c r="A193">
        <v>2023</v>
      </c>
      <c r="B193">
        <v>104021</v>
      </c>
      <c r="C193">
        <v>608</v>
      </c>
      <c r="D193" t="s">
        <v>837</v>
      </c>
      <c r="E193" t="s">
        <v>250</v>
      </c>
      <c r="F193">
        <v>221210</v>
      </c>
      <c r="G193" t="s">
        <v>341</v>
      </c>
      <c r="H193" t="s">
        <v>838</v>
      </c>
      <c r="I193" t="s">
        <v>839</v>
      </c>
      <c r="J193" t="s">
        <v>46</v>
      </c>
      <c r="K193">
        <v>95206</v>
      </c>
      <c r="L193">
        <v>37.99</v>
      </c>
      <c r="M193">
        <v>-121.47799999999999</v>
      </c>
      <c r="N193" t="s">
        <v>840</v>
      </c>
      <c r="O193" t="s">
        <v>388</v>
      </c>
      <c r="P193" t="s">
        <v>194</v>
      </c>
      <c r="Q193" t="s">
        <v>195</v>
      </c>
      <c r="R193" t="s">
        <v>75</v>
      </c>
      <c r="S193" s="1">
        <v>16201</v>
      </c>
      <c r="T193" s="1">
        <v>16201</v>
      </c>
      <c r="U193">
        <v>0</v>
      </c>
      <c r="V193" s="1">
        <v>10663</v>
      </c>
      <c r="W193">
        <v>221.02</v>
      </c>
      <c r="X193">
        <v>0.04</v>
      </c>
      <c r="Y193" s="12">
        <v>0</v>
      </c>
      <c r="Z193" s="12">
        <v>0.1</v>
      </c>
      <c r="AA193" s="12">
        <v>3.3</v>
      </c>
      <c r="AB193" s="12">
        <v>0.2</v>
      </c>
      <c r="AC193" s="12">
        <v>0.4</v>
      </c>
      <c r="AD193" s="12">
        <v>0.4</v>
      </c>
      <c r="AE193">
        <v>35.5</v>
      </c>
      <c r="AF193">
        <v>14.8</v>
      </c>
      <c r="AH193">
        <v>16.899999999999999</v>
      </c>
      <c r="AI193">
        <v>457</v>
      </c>
      <c r="AM193">
        <v>5.6929999999999996</v>
      </c>
      <c r="AN193">
        <v>4.149</v>
      </c>
      <c r="AO193">
        <v>98.418000000000006</v>
      </c>
    </row>
    <row r="194" spans="1:41" x14ac:dyDescent="0.2">
      <c r="A194">
        <v>2023</v>
      </c>
      <c r="B194">
        <v>104022</v>
      </c>
      <c r="C194">
        <v>164</v>
      </c>
      <c r="D194" t="s">
        <v>841</v>
      </c>
      <c r="E194" t="s">
        <v>250</v>
      </c>
      <c r="F194">
        <v>221210</v>
      </c>
      <c r="G194" t="s">
        <v>341</v>
      </c>
      <c r="H194" t="s">
        <v>842</v>
      </c>
      <c r="I194" t="s">
        <v>70</v>
      </c>
      <c r="J194" t="s">
        <v>46</v>
      </c>
      <c r="K194">
        <v>96013</v>
      </c>
      <c r="L194">
        <v>40.896999999999998</v>
      </c>
      <c r="M194">
        <v>-121.63500000000001</v>
      </c>
      <c r="N194" t="s">
        <v>71</v>
      </c>
      <c r="O194" t="s">
        <v>72</v>
      </c>
      <c r="P194" t="s">
        <v>73</v>
      </c>
      <c r="Q194" t="s">
        <v>74</v>
      </c>
      <c r="R194" t="s">
        <v>51</v>
      </c>
      <c r="S194" s="1">
        <v>59842</v>
      </c>
      <c r="T194" s="1">
        <v>59842</v>
      </c>
      <c r="U194">
        <v>0</v>
      </c>
      <c r="V194" s="1">
        <v>58488</v>
      </c>
      <c r="W194">
        <v>52.84</v>
      </c>
      <c r="X194">
        <v>0.11</v>
      </c>
      <c r="Y194" s="12">
        <v>58547</v>
      </c>
      <c r="Z194" s="12">
        <v>3.5</v>
      </c>
      <c r="AA194" s="12">
        <v>17.399999999999999</v>
      </c>
      <c r="AB194" s="12">
        <v>1.6</v>
      </c>
      <c r="AC194" s="12">
        <v>1.6</v>
      </c>
      <c r="AD194" s="12">
        <v>1.6</v>
      </c>
    </row>
    <row r="195" spans="1:41" x14ac:dyDescent="0.2">
      <c r="A195">
        <v>2023</v>
      </c>
      <c r="B195">
        <v>104023</v>
      </c>
      <c r="C195">
        <v>2501</v>
      </c>
      <c r="D195" t="s">
        <v>843</v>
      </c>
      <c r="E195" t="s">
        <v>250</v>
      </c>
      <c r="F195">
        <v>221210</v>
      </c>
      <c r="G195" t="s">
        <v>341</v>
      </c>
      <c r="H195" t="s">
        <v>844</v>
      </c>
      <c r="I195" t="s">
        <v>845</v>
      </c>
      <c r="J195" t="s">
        <v>46</v>
      </c>
      <c r="K195">
        <v>96015</v>
      </c>
      <c r="L195">
        <v>41.649000000000001</v>
      </c>
      <c r="M195">
        <v>-121.318</v>
      </c>
      <c r="N195" t="s">
        <v>846</v>
      </c>
      <c r="O195" t="s">
        <v>847</v>
      </c>
      <c r="P195" t="s">
        <v>848</v>
      </c>
      <c r="Q195" t="s">
        <v>751</v>
      </c>
      <c r="R195" t="s">
        <v>51</v>
      </c>
      <c r="S195" s="1">
        <v>27713</v>
      </c>
      <c r="T195" s="1">
        <v>27713</v>
      </c>
      <c r="U195">
        <v>0</v>
      </c>
      <c r="V195" s="1">
        <v>26717</v>
      </c>
      <c r="W195">
        <v>39.25</v>
      </c>
      <c r="X195">
        <v>0.05</v>
      </c>
      <c r="Y195" s="12">
        <v>26743</v>
      </c>
      <c r="Z195" s="12">
        <v>0.1</v>
      </c>
      <c r="AA195" s="12">
        <v>3.1</v>
      </c>
      <c r="AB195" s="12">
        <v>0</v>
      </c>
      <c r="AC195" s="12">
        <v>0</v>
      </c>
      <c r="AD195" s="12">
        <v>0</v>
      </c>
    </row>
    <row r="196" spans="1:41" x14ac:dyDescent="0.2">
      <c r="A196">
        <v>2023</v>
      </c>
      <c r="B196">
        <v>104029</v>
      </c>
      <c r="C196">
        <v>5362</v>
      </c>
      <c r="D196" t="s">
        <v>849</v>
      </c>
      <c r="E196" t="s">
        <v>250</v>
      </c>
      <c r="F196">
        <v>211111</v>
      </c>
      <c r="G196" t="s">
        <v>256</v>
      </c>
      <c r="H196" t="s">
        <v>850</v>
      </c>
      <c r="I196" t="s">
        <v>851</v>
      </c>
      <c r="J196" t="s">
        <v>46</v>
      </c>
      <c r="K196">
        <v>94571</v>
      </c>
      <c r="L196">
        <v>38.164000000000001</v>
      </c>
      <c r="M196">
        <v>-121.73099999999999</v>
      </c>
      <c r="N196" t="s">
        <v>852</v>
      </c>
      <c r="O196" t="s">
        <v>239</v>
      </c>
      <c r="P196" t="s">
        <v>210</v>
      </c>
      <c r="Q196" t="s">
        <v>74</v>
      </c>
      <c r="R196" t="s">
        <v>51</v>
      </c>
      <c r="S196" s="1">
        <v>68479</v>
      </c>
      <c r="T196" s="1">
        <v>68479</v>
      </c>
      <c r="U196">
        <v>0</v>
      </c>
      <c r="V196" s="1">
        <v>33548</v>
      </c>
      <c r="W196" s="2">
        <v>1396.48</v>
      </c>
      <c r="X196">
        <v>7.0000000000000007E-2</v>
      </c>
      <c r="Y196" s="12">
        <v>35482</v>
      </c>
      <c r="Z196" s="12">
        <v>6.9</v>
      </c>
      <c r="AA196" s="12">
        <v>40.4</v>
      </c>
      <c r="AB196" s="12">
        <v>0.6</v>
      </c>
      <c r="AC196" s="12">
        <v>1.9</v>
      </c>
      <c r="AD196" s="12">
        <v>1.9</v>
      </c>
      <c r="AE196">
        <v>281.35899999999998</v>
      </c>
      <c r="AF196">
        <v>65.894000000000005</v>
      </c>
      <c r="AI196" s="2">
        <v>2302.4430000000002</v>
      </c>
      <c r="AL196">
        <v>4.1000000000000002E-2</v>
      </c>
      <c r="AM196">
        <v>28.96</v>
      </c>
      <c r="AN196">
        <v>20.902000000000001</v>
      </c>
      <c r="AO196">
        <v>352.07600000000002</v>
      </c>
    </row>
    <row r="197" spans="1:41" x14ac:dyDescent="0.2">
      <c r="A197">
        <v>2023</v>
      </c>
      <c r="B197">
        <v>104030</v>
      </c>
      <c r="C197">
        <v>8453</v>
      </c>
      <c r="D197" t="s">
        <v>853</v>
      </c>
      <c r="E197" t="s">
        <v>250</v>
      </c>
      <c r="F197">
        <v>211111</v>
      </c>
      <c r="G197" t="s">
        <v>256</v>
      </c>
      <c r="H197" t="s">
        <v>854</v>
      </c>
      <c r="I197" t="s">
        <v>247</v>
      </c>
      <c r="J197" t="s">
        <v>46</v>
      </c>
      <c r="K197">
        <v>93308</v>
      </c>
      <c r="L197">
        <v>35.499000000000002</v>
      </c>
      <c r="M197">
        <v>-119.033</v>
      </c>
      <c r="N197" t="s">
        <v>248</v>
      </c>
      <c r="O197" t="s">
        <v>193</v>
      </c>
      <c r="P197" t="s">
        <v>194</v>
      </c>
      <c r="Q197" t="s">
        <v>195</v>
      </c>
      <c r="R197" t="s">
        <v>51</v>
      </c>
      <c r="S197" s="1">
        <v>626441</v>
      </c>
      <c r="T197" s="1">
        <v>626441</v>
      </c>
      <c r="U197">
        <v>0</v>
      </c>
      <c r="V197" s="1">
        <v>590762</v>
      </c>
      <c r="W197" s="2">
        <v>1413.98</v>
      </c>
      <c r="X197">
        <v>1.1100000000000001</v>
      </c>
      <c r="Y197" s="12">
        <v>598091</v>
      </c>
      <c r="Z197" s="12">
        <v>53.7</v>
      </c>
      <c r="AA197" s="12">
        <v>28.7</v>
      </c>
      <c r="AB197" s="12">
        <v>10.7</v>
      </c>
      <c r="AC197" s="12">
        <v>12.4</v>
      </c>
      <c r="AD197" s="12">
        <v>12.4</v>
      </c>
      <c r="AE197">
        <v>666</v>
      </c>
      <c r="AF197">
        <v>76.38</v>
      </c>
      <c r="AI197" s="2">
        <v>3461.34</v>
      </c>
      <c r="AK197" s="2">
        <v>8581.85</v>
      </c>
      <c r="AM197">
        <v>82.706000000000003</v>
      </c>
      <c r="AN197">
        <v>49.216000000000001</v>
      </c>
      <c r="AO197">
        <v>485.14499999999998</v>
      </c>
    </row>
    <row r="198" spans="1:41" x14ac:dyDescent="0.2">
      <c r="A198">
        <v>2023</v>
      </c>
      <c r="B198">
        <v>104033</v>
      </c>
      <c r="C198">
        <v>310</v>
      </c>
      <c r="D198" t="s">
        <v>855</v>
      </c>
      <c r="E198" t="s">
        <v>250</v>
      </c>
      <c r="F198">
        <v>211111</v>
      </c>
      <c r="G198" t="s">
        <v>256</v>
      </c>
      <c r="H198" t="s">
        <v>856</v>
      </c>
      <c r="I198" t="s">
        <v>857</v>
      </c>
      <c r="J198" t="s">
        <v>46</v>
      </c>
      <c r="K198">
        <v>93040</v>
      </c>
      <c r="L198">
        <v>34.390999999999998</v>
      </c>
      <c r="M198">
        <v>-118.792</v>
      </c>
      <c r="N198" t="s">
        <v>858</v>
      </c>
      <c r="O198" t="s">
        <v>153</v>
      </c>
      <c r="P198" t="s">
        <v>154</v>
      </c>
      <c r="Q198" t="s">
        <v>155</v>
      </c>
      <c r="R198" t="s">
        <v>51</v>
      </c>
      <c r="S198" s="1">
        <v>22974</v>
      </c>
      <c r="T198" s="1">
        <v>22974</v>
      </c>
      <c r="U198">
        <v>0</v>
      </c>
      <c r="V198" s="1">
        <v>21320</v>
      </c>
      <c r="W198">
        <v>65.739999999999995</v>
      </c>
      <c r="X198">
        <v>0.04</v>
      </c>
      <c r="Y198" s="12">
        <v>22613</v>
      </c>
      <c r="Z198" s="12">
        <v>2.9</v>
      </c>
      <c r="AA198" s="12">
        <v>2.2999999999999998</v>
      </c>
      <c r="AB198" s="12">
        <v>2.2000000000000002</v>
      </c>
      <c r="AC198" s="12">
        <v>0.2</v>
      </c>
      <c r="AD198" s="12">
        <v>0.2</v>
      </c>
      <c r="AE198">
        <v>13.4</v>
      </c>
      <c r="AI198">
        <v>72.3</v>
      </c>
      <c r="AL198">
        <v>0.129</v>
      </c>
      <c r="AM198">
        <v>0.48399999999999999</v>
      </c>
      <c r="AN198">
        <v>0.497</v>
      </c>
      <c r="AO198">
        <v>12.961</v>
      </c>
    </row>
    <row r="199" spans="1:41" x14ac:dyDescent="0.2">
      <c r="A199">
        <v>2023</v>
      </c>
      <c r="B199">
        <v>104035</v>
      </c>
      <c r="C199">
        <v>4835</v>
      </c>
      <c r="D199" t="s">
        <v>859</v>
      </c>
      <c r="E199" t="s">
        <v>42</v>
      </c>
      <c r="F199">
        <v>928110</v>
      </c>
      <c r="G199" t="s">
        <v>399</v>
      </c>
      <c r="H199" t="s">
        <v>860</v>
      </c>
      <c r="I199" t="s">
        <v>126</v>
      </c>
      <c r="J199" t="s">
        <v>46</v>
      </c>
      <c r="K199">
        <v>92134</v>
      </c>
      <c r="L199">
        <v>32.722000000000001</v>
      </c>
      <c r="M199">
        <v>-117.146</v>
      </c>
      <c r="N199" t="s">
        <v>861</v>
      </c>
      <c r="O199" t="s">
        <v>126</v>
      </c>
      <c r="P199" t="s">
        <v>127</v>
      </c>
      <c r="Q199" t="s">
        <v>126</v>
      </c>
      <c r="R199" t="s">
        <v>75</v>
      </c>
      <c r="S199" s="1">
        <v>19472</v>
      </c>
      <c r="T199" s="1">
        <v>19472</v>
      </c>
      <c r="U199">
        <v>0</v>
      </c>
      <c r="V199" s="1">
        <v>19452</v>
      </c>
      <c r="W199">
        <v>0.37</v>
      </c>
      <c r="X199">
        <v>0.04</v>
      </c>
      <c r="Y199" s="12">
        <v>0</v>
      </c>
      <c r="Z199" s="12">
        <v>0.4</v>
      </c>
      <c r="AA199" s="12">
        <v>5.7</v>
      </c>
      <c r="AB199" s="12">
        <v>0.1</v>
      </c>
      <c r="AC199" s="12">
        <v>1.2</v>
      </c>
      <c r="AD199" s="12">
        <v>1.2</v>
      </c>
      <c r="AE199">
        <v>4.46</v>
      </c>
      <c r="AF199">
        <v>1.06</v>
      </c>
      <c r="AG199">
        <v>0</v>
      </c>
      <c r="AH199">
        <v>18.8</v>
      </c>
      <c r="AI199">
        <v>193</v>
      </c>
      <c r="AJ199">
        <v>0.82199999999999995</v>
      </c>
      <c r="AL199">
        <v>1.7000000000000001E-2</v>
      </c>
      <c r="AM199">
        <v>0.78</v>
      </c>
      <c r="AN199">
        <v>0.60199999999999998</v>
      </c>
      <c r="AO199">
        <v>62.261000000000003</v>
      </c>
    </row>
    <row r="200" spans="1:41" x14ac:dyDescent="0.2">
      <c r="A200">
        <v>2023</v>
      </c>
      <c r="B200">
        <v>104052</v>
      </c>
      <c r="C200">
        <v>256</v>
      </c>
      <c r="D200" t="s">
        <v>862</v>
      </c>
      <c r="E200" t="s">
        <v>42</v>
      </c>
      <c r="F200">
        <v>327410</v>
      </c>
      <c r="G200" t="s">
        <v>863</v>
      </c>
      <c r="H200" t="s">
        <v>864</v>
      </c>
      <c r="I200" t="s">
        <v>865</v>
      </c>
      <c r="J200" t="s">
        <v>46</v>
      </c>
      <c r="K200">
        <v>93908</v>
      </c>
      <c r="L200">
        <v>36.747</v>
      </c>
      <c r="M200">
        <v>-121.60299999999999</v>
      </c>
      <c r="N200" t="s">
        <v>866</v>
      </c>
      <c r="O200" t="s">
        <v>656</v>
      </c>
      <c r="P200" t="s">
        <v>187</v>
      </c>
      <c r="Q200" t="s">
        <v>188</v>
      </c>
      <c r="R200" t="s">
        <v>51</v>
      </c>
      <c r="S200" s="1">
        <v>2864</v>
      </c>
      <c r="T200" s="1">
        <v>2864</v>
      </c>
      <c r="U200">
        <v>0</v>
      </c>
      <c r="V200" s="1">
        <v>2863</v>
      </c>
      <c r="W200">
        <v>0.03</v>
      </c>
      <c r="X200">
        <v>0</v>
      </c>
      <c r="Y200" s="12">
        <v>2864</v>
      </c>
      <c r="Z200" s="12">
        <v>1</v>
      </c>
      <c r="AA200" s="12">
        <v>1.4</v>
      </c>
      <c r="AB200" s="12">
        <v>0</v>
      </c>
      <c r="AC200" s="12">
        <v>71.599999999999994</v>
      </c>
      <c r="AD200" s="12">
        <v>12.8</v>
      </c>
      <c r="AE200">
        <v>3.1</v>
      </c>
      <c r="AF200">
        <v>0</v>
      </c>
      <c r="AH200">
        <v>0</v>
      </c>
      <c r="AI200">
        <v>0.221</v>
      </c>
      <c r="AL200">
        <v>0.48099999999999998</v>
      </c>
      <c r="AM200">
        <v>1.351</v>
      </c>
      <c r="AN200">
        <v>44.625</v>
      </c>
      <c r="AO200">
        <v>22.992000000000001</v>
      </c>
    </row>
    <row r="201" spans="1:41" x14ac:dyDescent="0.2">
      <c r="A201">
        <v>2023</v>
      </c>
      <c r="B201">
        <v>104068</v>
      </c>
      <c r="C201">
        <v>171</v>
      </c>
      <c r="D201" t="s">
        <v>867</v>
      </c>
      <c r="E201" t="s">
        <v>42</v>
      </c>
      <c r="F201">
        <v>622110</v>
      </c>
      <c r="G201" t="s">
        <v>868</v>
      </c>
      <c r="H201" t="s">
        <v>869</v>
      </c>
      <c r="I201" t="s">
        <v>100</v>
      </c>
      <c r="J201" t="s">
        <v>46</v>
      </c>
      <c r="K201">
        <v>95817</v>
      </c>
      <c r="L201">
        <v>38.551000000000002</v>
      </c>
      <c r="M201">
        <v>-121.45099999999999</v>
      </c>
      <c r="N201" t="s">
        <v>870</v>
      </c>
      <c r="O201" t="s">
        <v>100</v>
      </c>
      <c r="P201" t="s">
        <v>101</v>
      </c>
      <c r="Q201" t="s">
        <v>74</v>
      </c>
      <c r="R201" t="s">
        <v>51</v>
      </c>
      <c r="S201" s="1">
        <v>57917</v>
      </c>
      <c r="T201" s="1">
        <v>57917</v>
      </c>
      <c r="U201">
        <v>0</v>
      </c>
      <c r="V201" s="1">
        <v>57857</v>
      </c>
      <c r="W201">
        <v>1.0900000000000001</v>
      </c>
      <c r="X201">
        <v>0.11</v>
      </c>
      <c r="Y201" s="12">
        <v>57843</v>
      </c>
      <c r="Z201" s="12">
        <v>162.5</v>
      </c>
      <c r="AA201" s="12">
        <v>8.1</v>
      </c>
      <c r="AB201" s="12">
        <v>0.7</v>
      </c>
      <c r="AC201" s="12">
        <v>2.5</v>
      </c>
      <c r="AD201" s="12">
        <v>1.9</v>
      </c>
      <c r="AE201">
        <v>3.36</v>
      </c>
      <c r="AF201">
        <v>0.11799999999999999</v>
      </c>
      <c r="AH201">
        <v>7.34</v>
      </c>
      <c r="AI201">
        <v>175</v>
      </c>
      <c r="AJ201">
        <v>237</v>
      </c>
      <c r="AM201">
        <v>6.0570000000000004</v>
      </c>
      <c r="AN201">
        <v>3.1360000000000001</v>
      </c>
      <c r="AO201">
        <v>345.73599999999999</v>
      </c>
    </row>
    <row r="202" spans="1:41" x14ac:dyDescent="0.2">
      <c r="A202">
        <v>2023</v>
      </c>
      <c r="B202">
        <v>104069</v>
      </c>
      <c r="C202">
        <v>7748</v>
      </c>
      <c r="D202" t="s">
        <v>871</v>
      </c>
      <c r="E202" t="s">
        <v>42</v>
      </c>
      <c r="F202">
        <v>311423</v>
      </c>
      <c r="G202" t="s">
        <v>490</v>
      </c>
      <c r="H202" t="s">
        <v>872</v>
      </c>
      <c r="I202" t="s">
        <v>624</v>
      </c>
      <c r="J202" t="s">
        <v>46</v>
      </c>
      <c r="K202">
        <v>93622</v>
      </c>
      <c r="L202">
        <v>36.850999999999999</v>
      </c>
      <c r="M202">
        <v>-120.61499999999999</v>
      </c>
      <c r="N202" t="s">
        <v>873</v>
      </c>
      <c r="O202" t="s">
        <v>303</v>
      </c>
      <c r="P202" t="s">
        <v>194</v>
      </c>
      <c r="Q202" t="s">
        <v>195</v>
      </c>
      <c r="R202" t="s">
        <v>51</v>
      </c>
      <c r="S202" s="1">
        <v>29694</v>
      </c>
      <c r="T202" s="1">
        <v>29694</v>
      </c>
      <c r="U202">
        <v>0</v>
      </c>
      <c r="V202" s="1">
        <v>29664</v>
      </c>
      <c r="W202">
        <v>0.56000000000000005</v>
      </c>
      <c r="X202">
        <v>0.06</v>
      </c>
      <c r="Y202" s="12">
        <v>29694</v>
      </c>
      <c r="Z202" s="12">
        <v>3.2</v>
      </c>
      <c r="AA202" s="12">
        <v>11.2</v>
      </c>
      <c r="AB202" s="12">
        <v>0.7</v>
      </c>
      <c r="AC202" s="12">
        <v>5</v>
      </c>
      <c r="AD202" s="12">
        <v>3.3</v>
      </c>
      <c r="AE202">
        <v>2.8</v>
      </c>
      <c r="AG202">
        <v>2E-3</v>
      </c>
      <c r="AI202">
        <v>5.94</v>
      </c>
      <c r="AL202">
        <v>1.38</v>
      </c>
      <c r="AM202">
        <v>1.3089999999999999</v>
      </c>
      <c r="AN202">
        <v>1.9339999999999999</v>
      </c>
      <c r="AO202">
        <v>6.992</v>
      </c>
    </row>
    <row r="203" spans="1:41" x14ac:dyDescent="0.2">
      <c r="A203">
        <v>2023</v>
      </c>
      <c r="B203">
        <v>104072</v>
      </c>
      <c r="C203">
        <v>800325</v>
      </c>
      <c r="D203" t="s">
        <v>874</v>
      </c>
      <c r="E203" t="s">
        <v>250</v>
      </c>
      <c r="F203">
        <v>211111</v>
      </c>
      <c r="G203" t="s">
        <v>256</v>
      </c>
      <c r="H203" t="s">
        <v>875</v>
      </c>
      <c r="I203" t="s">
        <v>736</v>
      </c>
      <c r="J203" t="s">
        <v>46</v>
      </c>
      <c r="K203">
        <v>90802</v>
      </c>
      <c r="L203">
        <v>33.768000000000001</v>
      </c>
      <c r="M203">
        <v>-118.193</v>
      </c>
      <c r="N203" t="s">
        <v>876</v>
      </c>
      <c r="O203" t="s">
        <v>48</v>
      </c>
      <c r="P203" t="s">
        <v>49</v>
      </c>
      <c r="Q203" t="s">
        <v>50</v>
      </c>
      <c r="R203" t="s">
        <v>51</v>
      </c>
      <c r="S203" s="1">
        <v>212897</v>
      </c>
      <c r="T203" s="1">
        <v>212897</v>
      </c>
      <c r="U203">
        <v>0</v>
      </c>
      <c r="V203" s="1">
        <v>210716</v>
      </c>
      <c r="W203">
        <v>82.82</v>
      </c>
      <c r="X203">
        <v>0.37</v>
      </c>
      <c r="Y203" s="12">
        <v>210519</v>
      </c>
      <c r="Z203" s="12">
        <v>14.2</v>
      </c>
      <c r="AA203" s="12">
        <v>6.2</v>
      </c>
      <c r="AB203" s="12">
        <v>0.1</v>
      </c>
      <c r="AC203" s="12">
        <v>1.6</v>
      </c>
      <c r="AD203" s="12">
        <v>1.6</v>
      </c>
      <c r="AE203">
        <v>85.72</v>
      </c>
      <c r="AF203">
        <v>17.55</v>
      </c>
      <c r="AG203">
        <v>6.0000000000000001E-3</v>
      </c>
      <c r="AH203" s="2">
        <v>2054.4</v>
      </c>
      <c r="AI203">
        <v>305.7</v>
      </c>
      <c r="AJ203">
        <v>11.468999999999999</v>
      </c>
      <c r="AL203">
        <v>0.24</v>
      </c>
      <c r="AM203">
        <v>3.1179999999999999</v>
      </c>
      <c r="AN203">
        <v>9.8780000000000001</v>
      </c>
      <c r="AO203" s="2">
        <v>4837.82</v>
      </c>
    </row>
    <row r="204" spans="1:41" x14ac:dyDescent="0.2">
      <c r="A204">
        <v>2023</v>
      </c>
      <c r="B204">
        <v>104075</v>
      </c>
      <c r="D204" t="s">
        <v>877</v>
      </c>
      <c r="E204" t="s">
        <v>250</v>
      </c>
      <c r="F204">
        <v>211111</v>
      </c>
      <c r="G204" t="s">
        <v>256</v>
      </c>
      <c r="H204" t="s">
        <v>878</v>
      </c>
      <c r="I204" t="s">
        <v>48</v>
      </c>
      <c r="J204" t="s">
        <v>46</v>
      </c>
      <c r="K204">
        <v>90071</v>
      </c>
      <c r="L204">
        <v>34.051000000000002</v>
      </c>
      <c r="M204">
        <v>-118.25700000000001</v>
      </c>
      <c r="N204" t="s">
        <v>879</v>
      </c>
      <c r="O204" t="s">
        <v>48</v>
      </c>
      <c r="P204" t="s">
        <v>49</v>
      </c>
      <c r="Q204" t="s">
        <v>50</v>
      </c>
      <c r="R204" t="s">
        <v>75</v>
      </c>
      <c r="S204" s="1">
        <v>12793</v>
      </c>
      <c r="T204" s="1">
        <v>12793</v>
      </c>
      <c r="U204">
        <v>0</v>
      </c>
      <c r="V204" s="1">
        <v>11575</v>
      </c>
      <c r="W204">
        <v>48.49</v>
      </c>
      <c r="X204">
        <v>0.02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</row>
    <row r="205" spans="1:41" x14ac:dyDescent="0.2">
      <c r="A205">
        <v>2023</v>
      </c>
      <c r="B205">
        <v>104081</v>
      </c>
      <c r="C205">
        <v>1372</v>
      </c>
      <c r="D205" t="s">
        <v>880</v>
      </c>
      <c r="E205" t="s">
        <v>250</v>
      </c>
      <c r="F205">
        <v>211111</v>
      </c>
      <c r="G205" t="s">
        <v>256</v>
      </c>
      <c r="H205" t="s">
        <v>881</v>
      </c>
      <c r="I205" t="s">
        <v>882</v>
      </c>
      <c r="J205" t="s">
        <v>46</v>
      </c>
      <c r="K205">
        <v>93224</v>
      </c>
      <c r="L205">
        <v>35.231999999999999</v>
      </c>
      <c r="M205">
        <v>-119.624</v>
      </c>
      <c r="N205" t="s">
        <v>192</v>
      </c>
      <c r="O205" t="s">
        <v>193</v>
      </c>
      <c r="P205" t="s">
        <v>194</v>
      </c>
      <c r="Q205" t="s">
        <v>195</v>
      </c>
      <c r="R205" t="s">
        <v>51</v>
      </c>
      <c r="S205" s="1">
        <v>896435</v>
      </c>
      <c r="T205" s="1">
        <v>896435</v>
      </c>
      <c r="U205">
        <v>0</v>
      </c>
      <c r="V205" s="1">
        <v>889294</v>
      </c>
      <c r="W205">
        <v>266.31</v>
      </c>
      <c r="X205">
        <v>1.62</v>
      </c>
      <c r="Y205" s="12">
        <v>893309</v>
      </c>
      <c r="Z205" s="12">
        <v>80.2</v>
      </c>
      <c r="AA205" s="12">
        <v>42.4</v>
      </c>
      <c r="AB205" s="12">
        <v>65.2</v>
      </c>
      <c r="AC205" s="12">
        <v>54.9</v>
      </c>
      <c r="AD205" s="12">
        <v>54.7</v>
      </c>
      <c r="AE205">
        <v>404</v>
      </c>
      <c r="AI205">
        <v>585</v>
      </c>
      <c r="AK205" s="1">
        <v>3149</v>
      </c>
      <c r="AM205">
        <v>30.798999999999999</v>
      </c>
      <c r="AN205">
        <v>18.686</v>
      </c>
      <c r="AO205">
        <v>178.517</v>
      </c>
    </row>
    <row r="206" spans="1:41" x14ac:dyDescent="0.2">
      <c r="A206">
        <v>2023</v>
      </c>
      <c r="B206">
        <v>104090</v>
      </c>
      <c r="C206">
        <v>45086</v>
      </c>
      <c r="D206" t="s">
        <v>883</v>
      </c>
      <c r="E206" t="s">
        <v>250</v>
      </c>
      <c r="F206">
        <v>211111</v>
      </c>
      <c r="G206" t="s">
        <v>256</v>
      </c>
      <c r="H206" t="s">
        <v>884</v>
      </c>
      <c r="I206" t="s">
        <v>885</v>
      </c>
      <c r="J206" t="s">
        <v>46</v>
      </c>
      <c r="K206">
        <v>90755</v>
      </c>
      <c r="L206">
        <v>33.811</v>
      </c>
      <c r="M206">
        <v>-118.175</v>
      </c>
      <c r="N206" t="s">
        <v>886</v>
      </c>
      <c r="O206" t="s">
        <v>48</v>
      </c>
      <c r="P206" t="s">
        <v>49</v>
      </c>
      <c r="Q206" t="s">
        <v>50</v>
      </c>
      <c r="R206" t="s">
        <v>51</v>
      </c>
      <c r="S206" s="1">
        <v>43203</v>
      </c>
      <c r="T206" s="1">
        <v>43203</v>
      </c>
      <c r="U206">
        <v>0</v>
      </c>
      <c r="V206" s="1">
        <v>42944</v>
      </c>
      <c r="W206">
        <v>9.43</v>
      </c>
      <c r="X206">
        <v>0.08</v>
      </c>
      <c r="Y206" s="12">
        <v>42892</v>
      </c>
      <c r="Z206" s="12">
        <v>8.3000000000000007</v>
      </c>
      <c r="AA206" s="12">
        <v>3.6</v>
      </c>
      <c r="AB206" s="12">
        <v>0.2</v>
      </c>
      <c r="AC206" s="12">
        <v>1.6</v>
      </c>
      <c r="AD206" s="12">
        <v>1.6</v>
      </c>
      <c r="AE206">
        <v>699.52</v>
      </c>
      <c r="AF206">
        <v>1.21</v>
      </c>
      <c r="AG206">
        <v>0</v>
      </c>
      <c r="AH206">
        <v>0.499</v>
      </c>
      <c r="AI206">
        <v>435</v>
      </c>
      <c r="AJ206">
        <v>3.0000000000000001E-3</v>
      </c>
      <c r="AL206">
        <v>3.0000000000000001E-3</v>
      </c>
      <c r="AM206">
        <v>6.3570000000000002</v>
      </c>
      <c r="AN206">
        <v>5.6150000000000002</v>
      </c>
      <c r="AO206">
        <v>193.20400000000001</v>
      </c>
    </row>
    <row r="207" spans="1:41" x14ac:dyDescent="0.2">
      <c r="A207">
        <v>2023</v>
      </c>
      <c r="B207">
        <v>104094</v>
      </c>
      <c r="C207">
        <v>2265</v>
      </c>
      <c r="D207" t="s">
        <v>887</v>
      </c>
      <c r="E207" t="s">
        <v>250</v>
      </c>
      <c r="F207">
        <v>211111</v>
      </c>
      <c r="G207" t="s">
        <v>256</v>
      </c>
      <c r="H207" t="s">
        <v>888</v>
      </c>
      <c r="I207" t="s">
        <v>889</v>
      </c>
      <c r="J207" t="s">
        <v>46</v>
      </c>
      <c r="K207">
        <v>93268</v>
      </c>
      <c r="L207">
        <v>35.098999999999997</v>
      </c>
      <c r="M207">
        <v>-119.444</v>
      </c>
      <c r="N207" t="s">
        <v>590</v>
      </c>
      <c r="O207" t="s">
        <v>193</v>
      </c>
      <c r="P207" t="s">
        <v>194</v>
      </c>
      <c r="Q207" t="s">
        <v>195</v>
      </c>
      <c r="R207" t="s">
        <v>51</v>
      </c>
      <c r="S207" s="1">
        <v>1057961</v>
      </c>
      <c r="T207" s="1">
        <v>1057961</v>
      </c>
      <c r="U207">
        <v>0</v>
      </c>
      <c r="V207" s="1">
        <v>1055009</v>
      </c>
      <c r="W207">
        <v>94.73</v>
      </c>
      <c r="X207">
        <v>1.96</v>
      </c>
      <c r="Y207" s="12">
        <v>1055938</v>
      </c>
      <c r="Z207" s="12">
        <v>14.9</v>
      </c>
      <c r="AA207" s="12">
        <v>64.400000000000006</v>
      </c>
      <c r="AB207" s="12">
        <v>1.9</v>
      </c>
      <c r="AC207" s="12">
        <v>57.1</v>
      </c>
      <c r="AD207" s="12">
        <v>57</v>
      </c>
      <c r="AE207">
        <v>131.80000000000001</v>
      </c>
      <c r="AF207">
        <v>0.57199999999999995</v>
      </c>
      <c r="AH207">
        <v>7.97</v>
      </c>
      <c r="AI207">
        <v>806.6</v>
      </c>
      <c r="AK207" s="1">
        <v>2490</v>
      </c>
      <c r="AM207">
        <v>30.774000000000001</v>
      </c>
      <c r="AN207">
        <v>19.033999999999999</v>
      </c>
      <c r="AO207">
        <v>111.145</v>
      </c>
    </row>
    <row r="208" spans="1:41" x14ac:dyDescent="0.2">
      <c r="A208">
        <v>2023</v>
      </c>
      <c r="B208">
        <v>104097</v>
      </c>
      <c r="C208">
        <v>1121</v>
      </c>
      <c r="D208" t="s">
        <v>890</v>
      </c>
      <c r="E208" t="s">
        <v>250</v>
      </c>
      <c r="F208">
        <v>211111</v>
      </c>
      <c r="G208" t="s">
        <v>256</v>
      </c>
      <c r="H208" t="s">
        <v>891</v>
      </c>
      <c r="I208" t="s">
        <v>247</v>
      </c>
      <c r="J208" t="s">
        <v>46</v>
      </c>
      <c r="K208">
        <v>93307</v>
      </c>
      <c r="L208">
        <v>35.372999999999998</v>
      </c>
      <c r="M208">
        <v>-118.845</v>
      </c>
      <c r="N208" t="s">
        <v>892</v>
      </c>
      <c r="O208" t="s">
        <v>193</v>
      </c>
      <c r="P208" t="s">
        <v>194</v>
      </c>
      <c r="Q208" t="s">
        <v>195</v>
      </c>
      <c r="R208" t="s">
        <v>51</v>
      </c>
      <c r="S208" s="1">
        <v>25525</v>
      </c>
      <c r="T208" s="1">
        <v>25525</v>
      </c>
      <c r="U208">
        <v>0</v>
      </c>
      <c r="V208" s="1">
        <v>25478</v>
      </c>
      <c r="W208">
        <v>1.31</v>
      </c>
      <c r="X208">
        <v>0.05</v>
      </c>
      <c r="Y208" s="12">
        <v>25501</v>
      </c>
      <c r="Z208" s="12">
        <v>10.199999999999999</v>
      </c>
      <c r="AA208" s="12">
        <v>1.3</v>
      </c>
      <c r="AB208" s="12">
        <v>0.6</v>
      </c>
      <c r="AC208" s="12">
        <v>1.7</v>
      </c>
      <c r="AD208" s="12">
        <v>1.7</v>
      </c>
      <c r="AE208">
        <v>78.5</v>
      </c>
      <c r="AI208">
        <v>19.3</v>
      </c>
      <c r="AK208">
        <v>0</v>
      </c>
      <c r="AM208">
        <v>1.0660000000000001</v>
      </c>
      <c r="AN208">
        <v>0.88</v>
      </c>
      <c r="AO208">
        <v>22.614000000000001</v>
      </c>
    </row>
    <row r="209" spans="1:41" x14ac:dyDescent="0.2">
      <c r="A209">
        <v>2023</v>
      </c>
      <c r="B209">
        <v>104105</v>
      </c>
      <c r="C209">
        <v>474</v>
      </c>
      <c r="D209" t="s">
        <v>893</v>
      </c>
      <c r="E209" t="s">
        <v>42</v>
      </c>
      <c r="F209">
        <v>311513</v>
      </c>
      <c r="G209" t="s">
        <v>390</v>
      </c>
      <c r="H209" t="s">
        <v>894</v>
      </c>
      <c r="I209" t="s">
        <v>386</v>
      </c>
      <c r="J209" t="s">
        <v>46</v>
      </c>
      <c r="K209">
        <v>95376</v>
      </c>
      <c r="L209">
        <v>37.755000000000003</v>
      </c>
      <c r="M209">
        <v>-121.416</v>
      </c>
      <c r="N209" t="s">
        <v>895</v>
      </c>
      <c r="O209" t="s">
        <v>388</v>
      </c>
      <c r="P209" t="s">
        <v>194</v>
      </c>
      <c r="Q209" t="s">
        <v>195</v>
      </c>
      <c r="R209" t="s">
        <v>75</v>
      </c>
      <c r="S209" s="1">
        <v>17494</v>
      </c>
      <c r="T209" s="1">
        <v>17494</v>
      </c>
      <c r="U209">
        <v>0</v>
      </c>
      <c r="V209" s="1">
        <v>17476</v>
      </c>
      <c r="W209">
        <v>0.33</v>
      </c>
      <c r="X209">
        <v>0.03</v>
      </c>
      <c r="Y209" s="12">
        <v>0</v>
      </c>
      <c r="Z209" s="12">
        <v>0.5</v>
      </c>
      <c r="AA209" s="12">
        <v>0.9</v>
      </c>
      <c r="AB209" s="12">
        <v>0.5</v>
      </c>
      <c r="AC209" s="12">
        <v>5.4</v>
      </c>
      <c r="AD209" s="12">
        <v>2.2999999999999998</v>
      </c>
      <c r="AE209">
        <v>1.9</v>
      </c>
      <c r="AH209">
        <v>0</v>
      </c>
      <c r="AI209">
        <v>4.03</v>
      </c>
      <c r="AM209">
        <v>8.5999999999999993E-2</v>
      </c>
      <c r="AN209">
        <v>6.4000000000000001E-2</v>
      </c>
      <c r="AO209">
        <v>0.97699999999999998</v>
      </c>
    </row>
    <row r="210" spans="1:41" x14ac:dyDescent="0.2">
      <c r="A210">
        <v>2023</v>
      </c>
      <c r="B210">
        <v>104106</v>
      </c>
      <c r="C210">
        <v>774</v>
      </c>
      <c r="D210" t="s">
        <v>896</v>
      </c>
      <c r="E210" t="s">
        <v>42</v>
      </c>
      <c r="F210">
        <v>311513</v>
      </c>
      <c r="G210" t="s">
        <v>390</v>
      </c>
      <c r="H210" t="s">
        <v>897</v>
      </c>
      <c r="I210" t="s">
        <v>416</v>
      </c>
      <c r="J210" t="s">
        <v>46</v>
      </c>
      <c r="K210">
        <v>93245</v>
      </c>
      <c r="L210">
        <v>36.304000000000002</v>
      </c>
      <c r="M210">
        <v>-119.788</v>
      </c>
      <c r="N210" t="s">
        <v>898</v>
      </c>
      <c r="O210" t="s">
        <v>418</v>
      </c>
      <c r="P210" t="s">
        <v>194</v>
      </c>
      <c r="Q210" t="s">
        <v>195</v>
      </c>
      <c r="R210" t="s">
        <v>75</v>
      </c>
      <c r="S210" s="1">
        <v>21733</v>
      </c>
      <c r="T210" s="1">
        <v>21733</v>
      </c>
      <c r="U210">
        <v>0</v>
      </c>
      <c r="V210" s="1">
        <v>21710</v>
      </c>
      <c r="W210">
        <v>0.41</v>
      </c>
      <c r="X210">
        <v>0.04</v>
      </c>
      <c r="Y210" s="12">
        <v>0</v>
      </c>
      <c r="Z210" s="12">
        <v>0.8</v>
      </c>
      <c r="AA210" s="12">
        <v>2.2999999999999998</v>
      </c>
      <c r="AB210" s="12">
        <v>0.6</v>
      </c>
      <c r="AC210" s="12">
        <v>5.3</v>
      </c>
      <c r="AD210" s="12">
        <v>2.5</v>
      </c>
      <c r="AE210">
        <v>2.29</v>
      </c>
      <c r="AH210">
        <v>20.3</v>
      </c>
      <c r="AI210">
        <v>4.8499999999999996</v>
      </c>
      <c r="AM210">
        <v>0.10299999999999999</v>
      </c>
      <c r="AN210">
        <v>0.14599999999999999</v>
      </c>
      <c r="AO210">
        <v>49.073</v>
      </c>
    </row>
    <row r="211" spans="1:41" x14ac:dyDescent="0.2">
      <c r="A211">
        <v>2023</v>
      </c>
      <c r="B211">
        <v>104122</v>
      </c>
      <c r="C211">
        <v>1000</v>
      </c>
      <c r="D211" t="s">
        <v>899</v>
      </c>
      <c r="E211" t="s">
        <v>42</v>
      </c>
      <c r="F211">
        <v>327993</v>
      </c>
      <c r="G211" t="s">
        <v>275</v>
      </c>
      <c r="H211" t="s">
        <v>900</v>
      </c>
      <c r="I211" t="s">
        <v>671</v>
      </c>
      <c r="J211" t="s">
        <v>46</v>
      </c>
      <c r="K211">
        <v>95988</v>
      </c>
      <c r="L211">
        <v>39.533999999999999</v>
      </c>
      <c r="M211">
        <v>-122.26</v>
      </c>
      <c r="N211" t="s">
        <v>901</v>
      </c>
      <c r="O211" t="s">
        <v>902</v>
      </c>
      <c r="P211" t="s">
        <v>903</v>
      </c>
      <c r="Q211" t="s">
        <v>74</v>
      </c>
      <c r="R211" t="s">
        <v>51</v>
      </c>
      <c r="S211" s="1">
        <v>14950</v>
      </c>
      <c r="T211" s="1">
        <v>14950</v>
      </c>
      <c r="U211">
        <v>0</v>
      </c>
      <c r="V211" s="1">
        <v>14939</v>
      </c>
      <c r="W211">
        <v>0.2</v>
      </c>
      <c r="X211">
        <v>0.02</v>
      </c>
      <c r="Y211" s="12">
        <v>14950</v>
      </c>
      <c r="Z211" s="12">
        <v>0</v>
      </c>
      <c r="AA211" s="12">
        <v>0</v>
      </c>
      <c r="AB211" s="12">
        <v>0</v>
      </c>
      <c r="AC211" s="12">
        <v>84.8</v>
      </c>
      <c r="AD211" s="12">
        <v>47.2</v>
      </c>
      <c r="AE211">
        <v>1.47</v>
      </c>
      <c r="AF211">
        <v>1.35</v>
      </c>
      <c r="AH211">
        <v>5.0000000000000001E-3</v>
      </c>
      <c r="AI211">
        <v>4.0999999999999996</v>
      </c>
      <c r="AM211">
        <v>3.2000000000000001E-2</v>
      </c>
      <c r="AN211">
        <v>14.442</v>
      </c>
      <c r="AO211">
        <v>3.081</v>
      </c>
    </row>
    <row r="212" spans="1:41" x14ac:dyDescent="0.2">
      <c r="A212">
        <v>2023</v>
      </c>
      <c r="B212">
        <v>104135</v>
      </c>
      <c r="C212">
        <v>9010</v>
      </c>
      <c r="D212" t="s">
        <v>904</v>
      </c>
      <c r="E212" t="s">
        <v>42</v>
      </c>
      <c r="F212">
        <v>322130</v>
      </c>
      <c r="G212" t="s">
        <v>133</v>
      </c>
      <c r="H212" t="s">
        <v>905</v>
      </c>
      <c r="I212" t="s">
        <v>107</v>
      </c>
      <c r="J212" t="s">
        <v>46</v>
      </c>
      <c r="K212">
        <v>95050</v>
      </c>
      <c r="L212">
        <v>37.36</v>
      </c>
      <c r="M212">
        <v>-121.94</v>
      </c>
      <c r="N212" t="s">
        <v>373</v>
      </c>
      <c r="O212" t="s">
        <v>107</v>
      </c>
      <c r="P212" t="s">
        <v>108</v>
      </c>
      <c r="Q212" t="s">
        <v>109</v>
      </c>
      <c r="R212" t="s">
        <v>51</v>
      </c>
      <c r="S212" s="1">
        <v>12829</v>
      </c>
      <c r="T212" s="1">
        <v>12829</v>
      </c>
      <c r="U212">
        <v>0</v>
      </c>
      <c r="V212" s="1">
        <v>12816</v>
      </c>
      <c r="W212">
        <v>0.24</v>
      </c>
      <c r="X212">
        <v>0.02</v>
      </c>
      <c r="Y212" s="12">
        <v>12829</v>
      </c>
      <c r="Z212" s="12">
        <v>16.600000000000001</v>
      </c>
      <c r="AA212" s="12">
        <v>3.5</v>
      </c>
      <c r="AB212" s="12">
        <v>0.1</v>
      </c>
      <c r="AC212" s="12">
        <v>0.3</v>
      </c>
      <c r="AD212" s="12">
        <v>0.3</v>
      </c>
      <c r="AE212">
        <v>0.39900000000000002</v>
      </c>
      <c r="AG212">
        <v>0</v>
      </c>
      <c r="AH212">
        <v>2.16</v>
      </c>
      <c r="AI212">
        <v>0</v>
      </c>
      <c r="AL212">
        <v>0</v>
      </c>
      <c r="AM212">
        <v>3.0000000000000001E-3</v>
      </c>
      <c r="AN212">
        <v>0.01</v>
      </c>
      <c r="AO212">
        <v>5.0789999999999997</v>
      </c>
    </row>
    <row r="213" spans="1:41" x14ac:dyDescent="0.2">
      <c r="A213">
        <v>2023</v>
      </c>
      <c r="B213">
        <v>104136</v>
      </c>
      <c r="D213" t="s">
        <v>906</v>
      </c>
      <c r="E213" t="s">
        <v>42</v>
      </c>
      <c r="F213">
        <v>322130</v>
      </c>
      <c r="G213" t="s">
        <v>133</v>
      </c>
      <c r="H213" t="s">
        <v>907</v>
      </c>
      <c r="I213" t="s">
        <v>48</v>
      </c>
      <c r="J213" t="s">
        <v>46</v>
      </c>
      <c r="K213">
        <v>90040</v>
      </c>
      <c r="L213">
        <v>33.981999999999999</v>
      </c>
      <c r="M213">
        <v>-118.16500000000001</v>
      </c>
      <c r="N213" t="s">
        <v>908</v>
      </c>
      <c r="O213" t="s">
        <v>48</v>
      </c>
      <c r="P213" t="s">
        <v>49</v>
      </c>
      <c r="Q213" t="s">
        <v>50</v>
      </c>
      <c r="R213" t="s">
        <v>51</v>
      </c>
      <c r="S213" s="1">
        <v>13722</v>
      </c>
      <c r="T213" s="1">
        <v>13722</v>
      </c>
      <c r="U213">
        <v>0</v>
      </c>
      <c r="V213" s="1">
        <v>13708</v>
      </c>
      <c r="W213">
        <v>0.26</v>
      </c>
      <c r="X213">
        <v>0.03</v>
      </c>
      <c r="Y213" s="12">
        <v>13722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</row>
    <row r="214" spans="1:41" x14ac:dyDescent="0.2">
      <c r="A214">
        <v>2023</v>
      </c>
      <c r="B214">
        <v>104138</v>
      </c>
      <c r="C214">
        <v>1626</v>
      </c>
      <c r="D214" t="s">
        <v>909</v>
      </c>
      <c r="E214" t="s">
        <v>42</v>
      </c>
      <c r="F214">
        <v>311421</v>
      </c>
      <c r="G214" t="s">
        <v>281</v>
      </c>
      <c r="H214" t="s">
        <v>910</v>
      </c>
      <c r="I214" t="s">
        <v>333</v>
      </c>
      <c r="J214" t="s">
        <v>46</v>
      </c>
      <c r="K214">
        <v>95357</v>
      </c>
      <c r="L214">
        <v>37.636000000000003</v>
      </c>
      <c r="M214">
        <v>-120.91800000000001</v>
      </c>
      <c r="N214" t="s">
        <v>911</v>
      </c>
      <c r="O214" t="s">
        <v>335</v>
      </c>
      <c r="P214" t="s">
        <v>194</v>
      </c>
      <c r="Q214" t="s">
        <v>195</v>
      </c>
      <c r="R214" t="s">
        <v>75</v>
      </c>
      <c r="S214" s="1">
        <v>14363</v>
      </c>
      <c r="T214" s="1">
        <v>14363</v>
      </c>
      <c r="U214">
        <v>0</v>
      </c>
      <c r="V214" s="1">
        <v>14348</v>
      </c>
      <c r="W214">
        <v>0.27</v>
      </c>
      <c r="X214">
        <v>0.03</v>
      </c>
      <c r="Y214" s="12">
        <v>0</v>
      </c>
      <c r="Z214" s="12">
        <v>2.7</v>
      </c>
      <c r="AA214" s="12">
        <v>0.2</v>
      </c>
      <c r="AB214" s="12">
        <v>0.4</v>
      </c>
      <c r="AC214" s="12">
        <v>1</v>
      </c>
      <c r="AD214" s="12">
        <v>1</v>
      </c>
      <c r="AE214">
        <v>0.57799999999999996</v>
      </c>
      <c r="AH214">
        <v>1</v>
      </c>
      <c r="AI214">
        <v>1.22</v>
      </c>
      <c r="AM214">
        <v>7.1999999999999995E-2</v>
      </c>
      <c r="AN214">
        <v>9.5000000000000001E-2</v>
      </c>
      <c r="AO214">
        <v>2.778</v>
      </c>
    </row>
    <row r="215" spans="1:41" x14ac:dyDescent="0.2">
      <c r="A215">
        <v>2023</v>
      </c>
      <c r="B215">
        <v>104165</v>
      </c>
      <c r="C215">
        <v>12071</v>
      </c>
      <c r="D215" t="s">
        <v>912</v>
      </c>
      <c r="E215" t="s">
        <v>42</v>
      </c>
      <c r="F215">
        <v>325414</v>
      </c>
      <c r="G215" t="s">
        <v>379</v>
      </c>
      <c r="H215" t="s">
        <v>913</v>
      </c>
      <c r="I215" t="s">
        <v>914</v>
      </c>
      <c r="J215" t="s">
        <v>46</v>
      </c>
      <c r="K215">
        <v>94710</v>
      </c>
      <c r="L215">
        <v>37.859000000000002</v>
      </c>
      <c r="M215">
        <v>-122.29600000000001</v>
      </c>
      <c r="N215" t="s">
        <v>915</v>
      </c>
      <c r="O215" t="s">
        <v>350</v>
      </c>
      <c r="P215" t="s">
        <v>108</v>
      </c>
      <c r="Q215" t="s">
        <v>109</v>
      </c>
      <c r="R215" t="s">
        <v>75</v>
      </c>
      <c r="S215" s="1">
        <v>11570</v>
      </c>
      <c r="T215" s="1">
        <v>11570</v>
      </c>
      <c r="U215">
        <v>0</v>
      </c>
      <c r="V215" s="1">
        <v>11558</v>
      </c>
      <c r="W215">
        <v>0.22</v>
      </c>
      <c r="X215">
        <v>0.02</v>
      </c>
      <c r="Y215" s="12">
        <v>0</v>
      </c>
      <c r="Z215" s="12">
        <v>13.1</v>
      </c>
      <c r="AA215" s="12">
        <v>8.9</v>
      </c>
      <c r="AB215" s="12">
        <v>0.1</v>
      </c>
      <c r="AC215" s="12">
        <v>0.3</v>
      </c>
      <c r="AD215" s="12">
        <v>0.3</v>
      </c>
      <c r="AE215">
        <v>1.63</v>
      </c>
      <c r="AG215">
        <v>0</v>
      </c>
      <c r="AH215">
        <v>7.8</v>
      </c>
      <c r="AI215">
        <v>45.2</v>
      </c>
      <c r="AL215">
        <v>0.42899999999999999</v>
      </c>
      <c r="AM215">
        <v>1.96</v>
      </c>
      <c r="AN215">
        <v>1.0249999999999999</v>
      </c>
      <c r="AO215">
        <v>29.754999999999999</v>
      </c>
    </row>
    <row r="216" spans="1:41" x14ac:dyDescent="0.2">
      <c r="A216">
        <v>2023</v>
      </c>
      <c r="B216">
        <v>104173</v>
      </c>
      <c r="C216">
        <v>49387</v>
      </c>
      <c r="D216" t="s">
        <v>916</v>
      </c>
      <c r="E216" t="s">
        <v>42</v>
      </c>
      <c r="F216">
        <v>611310</v>
      </c>
      <c r="G216" t="s">
        <v>103</v>
      </c>
      <c r="H216" t="s">
        <v>917</v>
      </c>
      <c r="I216" t="s">
        <v>475</v>
      </c>
      <c r="J216" t="s">
        <v>46</v>
      </c>
      <c r="K216">
        <v>92521</v>
      </c>
      <c r="L216">
        <v>33.975999999999999</v>
      </c>
      <c r="M216">
        <v>-117.33199999999999</v>
      </c>
      <c r="N216" t="s">
        <v>918</v>
      </c>
      <c r="O216" t="s">
        <v>475</v>
      </c>
      <c r="P216" t="s">
        <v>49</v>
      </c>
      <c r="Q216" t="s">
        <v>50</v>
      </c>
      <c r="R216" t="s">
        <v>75</v>
      </c>
      <c r="S216" s="1">
        <v>24751</v>
      </c>
      <c r="T216" s="1">
        <v>24751</v>
      </c>
      <c r="U216">
        <v>0</v>
      </c>
      <c r="V216" s="1">
        <v>24725</v>
      </c>
      <c r="W216">
        <v>0.47</v>
      </c>
      <c r="X216">
        <v>0.05</v>
      </c>
      <c r="Y216" s="12">
        <v>0</v>
      </c>
      <c r="Z216" s="12">
        <v>1.6</v>
      </c>
      <c r="AA216" s="12">
        <v>3.7</v>
      </c>
      <c r="AB216" s="12">
        <v>0.1</v>
      </c>
      <c r="AC216" s="12">
        <v>4.5</v>
      </c>
      <c r="AD216" s="12">
        <v>3.3</v>
      </c>
      <c r="AE216">
        <v>18.600000000000001</v>
      </c>
      <c r="AF216">
        <v>1.45</v>
      </c>
      <c r="AG216">
        <v>0.372</v>
      </c>
      <c r="AH216">
        <v>223</v>
      </c>
      <c r="AI216">
        <v>27.9</v>
      </c>
      <c r="AJ216">
        <v>336</v>
      </c>
      <c r="AL216">
        <v>0.107</v>
      </c>
      <c r="AM216">
        <v>1.2410000000000001</v>
      </c>
      <c r="AN216">
        <v>4.8609999999999998</v>
      </c>
      <c r="AO216">
        <v>827.23</v>
      </c>
    </row>
    <row r="217" spans="1:41" x14ac:dyDescent="0.2">
      <c r="A217">
        <v>2023</v>
      </c>
      <c r="B217">
        <v>104197</v>
      </c>
      <c r="C217">
        <v>8547</v>
      </c>
      <c r="D217" t="s">
        <v>919</v>
      </c>
      <c r="E217" t="s">
        <v>42</v>
      </c>
      <c r="F217">
        <v>331492</v>
      </c>
      <c r="G217" t="s">
        <v>920</v>
      </c>
      <c r="H217" t="s">
        <v>921</v>
      </c>
      <c r="I217" t="s">
        <v>922</v>
      </c>
      <c r="J217" t="s">
        <v>46</v>
      </c>
      <c r="K217">
        <v>91746</v>
      </c>
      <c r="L217">
        <v>34.024999999999999</v>
      </c>
      <c r="M217">
        <v>-117.983</v>
      </c>
      <c r="N217" t="s">
        <v>923</v>
      </c>
      <c r="O217" t="s">
        <v>48</v>
      </c>
      <c r="P217" t="s">
        <v>49</v>
      </c>
      <c r="Q217" t="s">
        <v>50</v>
      </c>
      <c r="R217" t="s">
        <v>51</v>
      </c>
      <c r="S217" s="1">
        <v>55783</v>
      </c>
      <c r="T217" s="1">
        <v>55783</v>
      </c>
      <c r="U217">
        <v>0</v>
      </c>
      <c r="V217" s="1">
        <v>55768</v>
      </c>
      <c r="W217">
        <v>0.28000000000000003</v>
      </c>
      <c r="X217">
        <v>0.03</v>
      </c>
      <c r="Y217" s="12">
        <v>55783</v>
      </c>
      <c r="Z217" s="12">
        <v>3.3</v>
      </c>
      <c r="AA217" s="12">
        <v>61.2</v>
      </c>
      <c r="AB217" s="12">
        <v>6.1</v>
      </c>
      <c r="AC217" s="12">
        <v>1</v>
      </c>
      <c r="AD217" s="12">
        <v>0.8</v>
      </c>
      <c r="AE217">
        <v>205</v>
      </c>
      <c r="AF217">
        <v>16.399999999999999</v>
      </c>
      <c r="AG217">
        <v>8.6999999999999994E-2</v>
      </c>
      <c r="AH217">
        <v>8.93</v>
      </c>
      <c r="AI217">
        <v>677</v>
      </c>
      <c r="AJ217">
        <v>4.2000000000000003E-2</v>
      </c>
      <c r="AK217">
        <v>647</v>
      </c>
      <c r="AL217">
        <v>4.3499999999999996</v>
      </c>
      <c r="AM217">
        <v>27.603999999999999</v>
      </c>
      <c r="AN217">
        <v>26.515999999999998</v>
      </c>
      <c r="AO217">
        <v>511.17500000000001</v>
      </c>
    </row>
    <row r="218" spans="1:41" x14ac:dyDescent="0.2">
      <c r="A218">
        <v>2023</v>
      </c>
      <c r="B218">
        <v>104198</v>
      </c>
      <c r="C218">
        <v>6656</v>
      </c>
      <c r="D218" t="s">
        <v>924</v>
      </c>
      <c r="E218" t="s">
        <v>42</v>
      </c>
      <c r="F218">
        <v>922140</v>
      </c>
      <c r="G218" t="s">
        <v>117</v>
      </c>
      <c r="H218" t="s">
        <v>925</v>
      </c>
      <c r="I218" t="s">
        <v>126</v>
      </c>
      <c r="J218" t="s">
        <v>46</v>
      </c>
      <c r="K218">
        <v>92179</v>
      </c>
      <c r="L218">
        <v>32.582000000000001</v>
      </c>
      <c r="M218">
        <v>-116.931</v>
      </c>
      <c r="N218" t="s">
        <v>926</v>
      </c>
      <c r="O218" t="s">
        <v>126</v>
      </c>
      <c r="P218" t="s">
        <v>127</v>
      </c>
      <c r="Q218" t="s">
        <v>126</v>
      </c>
      <c r="R218" t="s">
        <v>75</v>
      </c>
      <c r="S218" s="1">
        <v>5737</v>
      </c>
      <c r="T218" s="1">
        <v>5737</v>
      </c>
      <c r="U218">
        <v>0</v>
      </c>
      <c r="V218" s="1">
        <v>5731</v>
      </c>
      <c r="W218">
        <v>0.11</v>
      </c>
      <c r="X218">
        <v>0.01</v>
      </c>
      <c r="Y218" s="12">
        <v>0</v>
      </c>
      <c r="Z218" s="12">
        <v>0.3</v>
      </c>
      <c r="AA218" s="12">
        <v>0.4</v>
      </c>
      <c r="AB218" s="12">
        <v>0</v>
      </c>
      <c r="AC218" s="12">
        <v>0</v>
      </c>
      <c r="AD218" s="12">
        <v>0</v>
      </c>
      <c r="AE218">
        <v>3.17</v>
      </c>
      <c r="AF218">
        <v>0.42199999999999999</v>
      </c>
      <c r="AG218">
        <v>0</v>
      </c>
      <c r="AH218">
        <v>12.5</v>
      </c>
      <c r="AI218">
        <v>3.63</v>
      </c>
      <c r="AJ218">
        <v>0.36199999999999999</v>
      </c>
      <c r="AL218">
        <v>8.0000000000000002E-3</v>
      </c>
      <c r="AM218">
        <v>4.7E-2</v>
      </c>
      <c r="AN218">
        <v>9.5000000000000001E-2</v>
      </c>
      <c r="AO218">
        <v>31.408000000000001</v>
      </c>
    </row>
    <row r="219" spans="1:41" x14ac:dyDescent="0.2">
      <c r="A219">
        <v>2023</v>
      </c>
      <c r="B219">
        <v>104199</v>
      </c>
      <c r="C219">
        <v>917</v>
      </c>
      <c r="D219" t="s">
        <v>927</v>
      </c>
      <c r="E219" t="s">
        <v>42</v>
      </c>
      <c r="F219">
        <v>311421</v>
      </c>
      <c r="G219" t="s">
        <v>281</v>
      </c>
      <c r="H219" t="s">
        <v>928</v>
      </c>
      <c r="I219" t="s">
        <v>839</v>
      </c>
      <c r="J219" t="s">
        <v>46</v>
      </c>
      <c r="K219">
        <v>95206</v>
      </c>
      <c r="L219">
        <v>37.957999999999998</v>
      </c>
      <c r="M219">
        <v>-121.29</v>
      </c>
      <c r="N219" t="s">
        <v>929</v>
      </c>
      <c r="O219" t="s">
        <v>388</v>
      </c>
      <c r="P219" t="s">
        <v>194</v>
      </c>
      <c r="Q219" t="s">
        <v>195</v>
      </c>
      <c r="R219" t="s">
        <v>75</v>
      </c>
      <c r="S219" s="1">
        <v>22881</v>
      </c>
      <c r="T219" s="1">
        <v>22881</v>
      </c>
      <c r="U219">
        <v>0</v>
      </c>
      <c r="V219" s="1">
        <v>22857</v>
      </c>
      <c r="W219">
        <v>0.43</v>
      </c>
      <c r="X219">
        <v>0.04</v>
      </c>
      <c r="Y219" s="12">
        <v>0</v>
      </c>
      <c r="Z219" s="12">
        <v>1.2</v>
      </c>
      <c r="AA219" s="12">
        <v>1.6</v>
      </c>
      <c r="AB219" s="12">
        <v>0.6</v>
      </c>
      <c r="AC219" s="12">
        <v>1.6</v>
      </c>
      <c r="AD219" s="12">
        <v>1.6</v>
      </c>
      <c r="AE219">
        <v>0.73499999999999999</v>
      </c>
      <c r="AF219">
        <v>1E-3</v>
      </c>
      <c r="AI219">
        <v>1.59</v>
      </c>
      <c r="AM219">
        <v>3.4000000000000002E-2</v>
      </c>
      <c r="AN219">
        <v>2.5000000000000001E-2</v>
      </c>
      <c r="AO219">
        <v>1.7569999999999999</v>
      </c>
    </row>
    <row r="220" spans="1:41" x14ac:dyDescent="0.2">
      <c r="A220">
        <v>2023</v>
      </c>
      <c r="B220">
        <v>104200</v>
      </c>
      <c r="C220">
        <v>314</v>
      </c>
      <c r="D220" t="s">
        <v>930</v>
      </c>
      <c r="E220" t="s">
        <v>42</v>
      </c>
      <c r="F220">
        <v>311421</v>
      </c>
      <c r="G220" t="s">
        <v>281</v>
      </c>
      <c r="H220" t="s">
        <v>931</v>
      </c>
      <c r="I220" t="s">
        <v>932</v>
      </c>
      <c r="J220" t="s">
        <v>46</v>
      </c>
      <c r="K220">
        <v>95320</v>
      </c>
      <c r="L220">
        <v>37.795000000000002</v>
      </c>
      <c r="M220">
        <v>-120.997</v>
      </c>
      <c r="N220" t="s">
        <v>933</v>
      </c>
      <c r="O220" t="s">
        <v>388</v>
      </c>
      <c r="P220" t="s">
        <v>194</v>
      </c>
      <c r="Q220" t="s">
        <v>195</v>
      </c>
      <c r="R220" t="s">
        <v>75</v>
      </c>
      <c r="S220" s="1">
        <v>22753</v>
      </c>
      <c r="T220" s="1">
        <v>22753</v>
      </c>
      <c r="U220">
        <v>0</v>
      </c>
      <c r="V220" s="1">
        <v>22730</v>
      </c>
      <c r="W220">
        <v>0.43</v>
      </c>
      <c r="X220">
        <v>0.04</v>
      </c>
      <c r="Y220" s="12">
        <v>0</v>
      </c>
      <c r="Z220" s="12">
        <v>0.6</v>
      </c>
      <c r="AA220" s="12">
        <v>1.2</v>
      </c>
      <c r="AB220" s="12">
        <v>0.6</v>
      </c>
      <c r="AC220" s="12">
        <v>1.4</v>
      </c>
      <c r="AD220" s="12">
        <v>1.4</v>
      </c>
      <c r="AE220">
        <v>2.36</v>
      </c>
      <c r="AI220">
        <v>5.01</v>
      </c>
      <c r="AM220">
        <v>0.54700000000000004</v>
      </c>
      <c r="AN220">
        <v>0.78200000000000003</v>
      </c>
      <c r="AO220">
        <v>1.2170000000000001</v>
      </c>
    </row>
    <row r="221" spans="1:41" x14ac:dyDescent="0.2">
      <c r="A221">
        <v>2023</v>
      </c>
      <c r="B221">
        <v>104202</v>
      </c>
      <c r="C221">
        <v>800129</v>
      </c>
      <c r="D221" t="s">
        <v>934</v>
      </c>
      <c r="E221" t="s">
        <v>42</v>
      </c>
      <c r="F221">
        <v>493190</v>
      </c>
      <c r="G221" t="s">
        <v>935</v>
      </c>
      <c r="H221" t="s">
        <v>936</v>
      </c>
      <c r="I221" t="s">
        <v>937</v>
      </c>
      <c r="J221" t="s">
        <v>46</v>
      </c>
      <c r="K221">
        <v>92316</v>
      </c>
      <c r="L221">
        <v>34.058</v>
      </c>
      <c r="M221">
        <v>-117.37</v>
      </c>
      <c r="N221" t="s">
        <v>938</v>
      </c>
      <c r="O221" t="s">
        <v>57</v>
      </c>
      <c r="P221" t="s">
        <v>49</v>
      </c>
      <c r="Q221" t="s">
        <v>50</v>
      </c>
      <c r="R221" t="s">
        <v>75</v>
      </c>
      <c r="S221" s="1">
        <v>8543</v>
      </c>
      <c r="T221" s="1">
        <v>8543</v>
      </c>
      <c r="U221">
        <v>0</v>
      </c>
      <c r="V221" s="1">
        <v>8492</v>
      </c>
      <c r="W221">
        <v>0.62</v>
      </c>
      <c r="X221">
        <v>0.12</v>
      </c>
      <c r="Y221" s="12">
        <v>0</v>
      </c>
      <c r="Z221" s="12">
        <v>97.1</v>
      </c>
      <c r="AA221" s="12">
        <v>17.8</v>
      </c>
      <c r="AB221" s="12">
        <v>0</v>
      </c>
      <c r="AC221" s="12">
        <v>8.1</v>
      </c>
      <c r="AD221" s="12">
        <v>7.5</v>
      </c>
      <c r="AE221" s="1">
        <v>2892</v>
      </c>
      <c r="AF221">
        <v>2</v>
      </c>
      <c r="AG221">
        <v>1E-3</v>
      </c>
      <c r="AH221">
        <v>254</v>
      </c>
      <c r="AI221">
        <v>15</v>
      </c>
      <c r="AJ221">
        <v>1.41</v>
      </c>
      <c r="AL221">
        <v>3.1E-2</v>
      </c>
      <c r="AM221">
        <v>18.579999999999998</v>
      </c>
      <c r="AN221">
        <v>17.843</v>
      </c>
      <c r="AO221" s="2">
        <v>1254.9670000000001</v>
      </c>
    </row>
    <row r="222" spans="1:41" x14ac:dyDescent="0.2">
      <c r="A222">
        <v>2023</v>
      </c>
      <c r="B222">
        <v>104204</v>
      </c>
      <c r="C222">
        <v>47</v>
      </c>
      <c r="D222" t="s">
        <v>939</v>
      </c>
      <c r="E222" t="s">
        <v>42</v>
      </c>
      <c r="F222">
        <v>928110</v>
      </c>
      <c r="G222" t="s">
        <v>399</v>
      </c>
      <c r="H222" t="s">
        <v>940</v>
      </c>
      <c r="I222" t="s">
        <v>941</v>
      </c>
      <c r="J222" t="s">
        <v>46</v>
      </c>
      <c r="K222">
        <v>93524</v>
      </c>
      <c r="L222">
        <v>34.933</v>
      </c>
      <c r="M222">
        <v>-117.907</v>
      </c>
      <c r="N222" t="s">
        <v>942</v>
      </c>
      <c r="O222" t="s">
        <v>193</v>
      </c>
      <c r="P222" t="s">
        <v>200</v>
      </c>
      <c r="Q222" t="s">
        <v>59</v>
      </c>
      <c r="R222" t="s">
        <v>75</v>
      </c>
      <c r="S222" s="1">
        <v>20568</v>
      </c>
      <c r="T222" s="1">
        <v>20568</v>
      </c>
      <c r="U222">
        <v>0</v>
      </c>
      <c r="V222" s="1">
        <v>20543</v>
      </c>
      <c r="W222">
        <v>0.43</v>
      </c>
      <c r="X222">
        <v>0.05</v>
      </c>
      <c r="Y222" s="12">
        <v>0</v>
      </c>
      <c r="Z222" s="12">
        <v>18.3</v>
      </c>
      <c r="AA222" s="12">
        <v>101.1</v>
      </c>
      <c r="AB222" s="12">
        <v>2.5</v>
      </c>
      <c r="AC222" s="12">
        <v>591.5</v>
      </c>
      <c r="AD222" s="12">
        <v>356.2</v>
      </c>
      <c r="AE222">
        <v>261</v>
      </c>
      <c r="AF222">
        <v>147</v>
      </c>
      <c r="AG222">
        <v>4.01</v>
      </c>
      <c r="AH222" s="1">
        <v>3616</v>
      </c>
      <c r="AI222" s="1">
        <v>1181</v>
      </c>
      <c r="AJ222">
        <v>26.1</v>
      </c>
      <c r="AK222">
        <v>31.5</v>
      </c>
      <c r="AL222">
        <v>7.08</v>
      </c>
      <c r="AM222">
        <v>29.478999999999999</v>
      </c>
      <c r="AN222">
        <v>41.719000000000001</v>
      </c>
      <c r="AO222" s="2">
        <v>9896.5169999999998</v>
      </c>
    </row>
    <row r="223" spans="1:41" x14ac:dyDescent="0.2">
      <c r="A223">
        <v>2023</v>
      </c>
      <c r="B223">
        <v>104205</v>
      </c>
      <c r="C223">
        <v>201</v>
      </c>
      <c r="D223" t="s">
        <v>943</v>
      </c>
      <c r="E223" t="s">
        <v>42</v>
      </c>
      <c r="F223">
        <v>928110</v>
      </c>
      <c r="G223" t="s">
        <v>399</v>
      </c>
      <c r="H223" t="s">
        <v>944</v>
      </c>
      <c r="I223" t="s">
        <v>945</v>
      </c>
      <c r="J223" t="s">
        <v>46</v>
      </c>
      <c r="K223">
        <v>93437</v>
      </c>
      <c r="L223">
        <v>34.718000000000004</v>
      </c>
      <c r="M223">
        <v>-120.536</v>
      </c>
      <c r="N223" t="s">
        <v>946</v>
      </c>
      <c r="O223" t="s">
        <v>524</v>
      </c>
      <c r="P223" t="s">
        <v>525</v>
      </c>
      <c r="Q223" t="s">
        <v>155</v>
      </c>
      <c r="R223" t="s">
        <v>75</v>
      </c>
      <c r="S223" s="1">
        <v>9318</v>
      </c>
      <c r="T223" s="1">
        <v>9318</v>
      </c>
      <c r="U223">
        <v>0</v>
      </c>
      <c r="V223" s="1">
        <v>9306</v>
      </c>
      <c r="W223">
        <v>0.19</v>
      </c>
      <c r="X223">
        <v>0.02</v>
      </c>
      <c r="Y223" s="12">
        <v>0</v>
      </c>
      <c r="Z223" s="12">
        <v>3.4</v>
      </c>
      <c r="AA223" s="12">
        <v>4.3</v>
      </c>
      <c r="AB223" s="12">
        <v>0</v>
      </c>
      <c r="AC223" s="12">
        <v>0.2</v>
      </c>
      <c r="AD223" s="12">
        <v>0.2</v>
      </c>
      <c r="AE223">
        <v>0.11799999999999999</v>
      </c>
      <c r="AF223">
        <v>3.0000000000000001E-3</v>
      </c>
      <c r="AH223">
        <v>265</v>
      </c>
      <c r="AI223">
        <v>4.2300000000000004</v>
      </c>
      <c r="AL223">
        <v>0.03</v>
      </c>
      <c r="AM223">
        <v>4.4999999999999998E-2</v>
      </c>
      <c r="AN223">
        <v>0.97</v>
      </c>
      <c r="AO223">
        <v>613.69000000000005</v>
      </c>
    </row>
    <row r="224" spans="1:41" x14ac:dyDescent="0.2">
      <c r="A224">
        <v>2023</v>
      </c>
      <c r="B224">
        <v>104207</v>
      </c>
      <c r="C224">
        <v>1919</v>
      </c>
      <c r="D224" t="s">
        <v>947</v>
      </c>
      <c r="E224" t="s">
        <v>42</v>
      </c>
      <c r="F224">
        <v>311919</v>
      </c>
      <c r="G224" t="s">
        <v>440</v>
      </c>
      <c r="H224" t="s">
        <v>948</v>
      </c>
      <c r="I224" t="s">
        <v>333</v>
      </c>
      <c r="J224" t="s">
        <v>46</v>
      </c>
      <c r="K224">
        <v>95357</v>
      </c>
      <c r="L224">
        <v>37.631</v>
      </c>
      <c r="M224">
        <v>-120.919</v>
      </c>
      <c r="N224" t="s">
        <v>911</v>
      </c>
      <c r="O224" t="s">
        <v>335</v>
      </c>
      <c r="P224" t="s">
        <v>194</v>
      </c>
      <c r="Q224" t="s">
        <v>195</v>
      </c>
      <c r="R224" t="s">
        <v>51</v>
      </c>
      <c r="S224" s="1">
        <v>27644</v>
      </c>
      <c r="T224" s="1">
        <v>27644</v>
      </c>
      <c r="U224">
        <v>0</v>
      </c>
      <c r="V224" s="1">
        <v>27615</v>
      </c>
      <c r="W224">
        <v>0.52</v>
      </c>
      <c r="X224">
        <v>0.05</v>
      </c>
      <c r="Y224" s="12">
        <v>27644</v>
      </c>
      <c r="Z224" s="12">
        <v>3.7</v>
      </c>
      <c r="AA224" s="12">
        <v>6.2</v>
      </c>
      <c r="AB224" s="12">
        <v>0.1</v>
      </c>
      <c r="AC224" s="12">
        <v>11.5</v>
      </c>
      <c r="AD224" s="12">
        <v>4.5</v>
      </c>
      <c r="AE224">
        <v>2.25</v>
      </c>
      <c r="AI224">
        <v>4.7699999999999996</v>
      </c>
      <c r="AM224">
        <v>0.10100000000000001</v>
      </c>
      <c r="AN224">
        <v>7.4999999999999997E-2</v>
      </c>
      <c r="AO224">
        <v>1.204</v>
      </c>
    </row>
    <row r="225" spans="1:41" x14ac:dyDescent="0.2">
      <c r="A225">
        <v>2023</v>
      </c>
      <c r="B225">
        <v>104214</v>
      </c>
      <c r="C225">
        <v>328</v>
      </c>
      <c r="D225" t="s">
        <v>949</v>
      </c>
      <c r="E225" t="s">
        <v>42</v>
      </c>
      <c r="F225">
        <v>928110</v>
      </c>
      <c r="G225" t="s">
        <v>399</v>
      </c>
      <c r="H225" t="s">
        <v>950</v>
      </c>
      <c r="I225" t="s">
        <v>951</v>
      </c>
      <c r="J225" t="s">
        <v>46</v>
      </c>
      <c r="K225">
        <v>93555</v>
      </c>
      <c r="L225">
        <v>35.652000000000001</v>
      </c>
      <c r="M225">
        <v>-117.66800000000001</v>
      </c>
      <c r="N225" t="s">
        <v>952</v>
      </c>
      <c r="O225" t="s">
        <v>193</v>
      </c>
      <c r="P225" t="s">
        <v>200</v>
      </c>
      <c r="Q225" t="s">
        <v>59</v>
      </c>
      <c r="R225" t="s">
        <v>75</v>
      </c>
      <c r="S225" s="1">
        <v>9680</v>
      </c>
      <c r="T225" s="1">
        <v>9680</v>
      </c>
      <c r="U225">
        <v>0</v>
      </c>
      <c r="V225" s="1">
        <v>9667</v>
      </c>
      <c r="W225">
        <v>0.21</v>
      </c>
      <c r="X225">
        <v>0.03</v>
      </c>
      <c r="Y225" s="12">
        <v>0</v>
      </c>
      <c r="Z225" s="12">
        <v>2.9</v>
      </c>
      <c r="AA225" s="12">
        <v>7.5</v>
      </c>
      <c r="AB225" s="12">
        <v>0</v>
      </c>
      <c r="AC225" s="12">
        <v>0.6</v>
      </c>
      <c r="AD225" s="12">
        <v>0.6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L225">
        <v>0</v>
      </c>
      <c r="AM225">
        <v>0</v>
      </c>
      <c r="AN225">
        <v>0</v>
      </c>
      <c r="AO225">
        <v>0</v>
      </c>
    </row>
    <row r="226" spans="1:41" x14ac:dyDescent="0.2">
      <c r="A226">
        <v>2023</v>
      </c>
      <c r="B226">
        <v>104215</v>
      </c>
      <c r="C226">
        <v>1807</v>
      </c>
      <c r="D226" t="s">
        <v>953</v>
      </c>
      <c r="E226" t="s">
        <v>250</v>
      </c>
      <c r="F226">
        <v>211111</v>
      </c>
      <c r="G226" t="s">
        <v>256</v>
      </c>
      <c r="H226" t="s">
        <v>954</v>
      </c>
      <c r="I226" t="s">
        <v>247</v>
      </c>
      <c r="J226" t="s">
        <v>46</v>
      </c>
      <c r="K226">
        <v>93308</v>
      </c>
      <c r="L226">
        <v>35.47</v>
      </c>
      <c r="M226">
        <v>-119.065</v>
      </c>
      <c r="N226" t="s">
        <v>248</v>
      </c>
      <c r="O226" t="s">
        <v>193</v>
      </c>
      <c r="P226" t="s">
        <v>194</v>
      </c>
      <c r="Q226" t="s">
        <v>195</v>
      </c>
      <c r="R226" t="s">
        <v>51</v>
      </c>
      <c r="S226" s="1">
        <v>422667</v>
      </c>
      <c r="T226" s="1">
        <v>422667</v>
      </c>
      <c r="U226">
        <v>0</v>
      </c>
      <c r="V226" s="1">
        <v>420182</v>
      </c>
      <c r="W226">
        <v>89.86</v>
      </c>
      <c r="X226">
        <v>0.8</v>
      </c>
      <c r="Y226" s="12">
        <v>421247</v>
      </c>
      <c r="Z226" s="12">
        <v>21.8</v>
      </c>
      <c r="AA226" s="12">
        <v>17.8</v>
      </c>
      <c r="AB226" s="12">
        <v>8.1999999999999993</v>
      </c>
      <c r="AC226" s="12">
        <v>10</v>
      </c>
      <c r="AD226" s="12">
        <v>10</v>
      </c>
      <c r="AE226">
        <v>78.319999999999993</v>
      </c>
      <c r="AF226">
        <v>8.0000000000000002E-3</v>
      </c>
      <c r="AI226">
        <v>237.86699999999999</v>
      </c>
      <c r="AK226" s="2">
        <v>5044.68</v>
      </c>
      <c r="AM226">
        <v>27.734000000000002</v>
      </c>
      <c r="AN226">
        <v>13.815</v>
      </c>
      <c r="AO226">
        <v>35.368000000000002</v>
      </c>
    </row>
    <row r="227" spans="1:41" x14ac:dyDescent="0.2">
      <c r="A227">
        <v>2023</v>
      </c>
      <c r="B227">
        <v>104216</v>
      </c>
      <c r="C227">
        <v>71510</v>
      </c>
      <c r="D227" t="s">
        <v>955</v>
      </c>
      <c r="E227" t="s">
        <v>42</v>
      </c>
      <c r="F227">
        <v>488119</v>
      </c>
      <c r="G227" t="s">
        <v>527</v>
      </c>
      <c r="H227" t="s">
        <v>956</v>
      </c>
      <c r="I227" t="s">
        <v>794</v>
      </c>
      <c r="J227" t="s">
        <v>46</v>
      </c>
      <c r="K227">
        <v>92707</v>
      </c>
      <c r="L227">
        <v>33.677999999999997</v>
      </c>
      <c r="M227">
        <v>-117.863</v>
      </c>
      <c r="N227" t="s">
        <v>957</v>
      </c>
      <c r="O227" t="s">
        <v>167</v>
      </c>
      <c r="P227" t="s">
        <v>49</v>
      </c>
      <c r="Q227" t="s">
        <v>50</v>
      </c>
      <c r="R227" t="s">
        <v>75</v>
      </c>
      <c r="S227" s="1">
        <v>7227</v>
      </c>
      <c r="T227" s="1">
        <v>7227</v>
      </c>
      <c r="U227">
        <v>0</v>
      </c>
      <c r="V227" s="1">
        <v>7220</v>
      </c>
      <c r="W227">
        <v>0.14000000000000001</v>
      </c>
      <c r="X227">
        <v>0.01</v>
      </c>
      <c r="Y227" s="12">
        <v>0</v>
      </c>
      <c r="Z227" s="12">
        <v>1.1000000000000001</v>
      </c>
      <c r="AA227" s="12">
        <v>1.4</v>
      </c>
      <c r="AB227" s="12">
        <v>0</v>
      </c>
      <c r="AC227" s="12">
        <v>0.7</v>
      </c>
      <c r="AD227" s="12">
        <v>0.7</v>
      </c>
      <c r="AE227">
        <v>5.05</v>
      </c>
      <c r="AF227">
        <v>3.02</v>
      </c>
      <c r="AG227">
        <v>0</v>
      </c>
      <c r="AH227">
        <v>71.3</v>
      </c>
      <c r="AI227">
        <v>495</v>
      </c>
      <c r="AJ227">
        <v>0.42399999999999999</v>
      </c>
      <c r="AL227">
        <v>8.9999999999999993E-3</v>
      </c>
      <c r="AM227">
        <v>42.758000000000003</v>
      </c>
      <c r="AN227">
        <v>30.619</v>
      </c>
      <c r="AO227">
        <v>217.804</v>
      </c>
    </row>
    <row r="228" spans="1:41" x14ac:dyDescent="0.2">
      <c r="A228">
        <v>2023</v>
      </c>
      <c r="B228">
        <v>104220</v>
      </c>
      <c r="D228" t="s">
        <v>958</v>
      </c>
      <c r="E228" t="s">
        <v>250</v>
      </c>
      <c r="F228">
        <v>486210</v>
      </c>
      <c r="G228" t="s">
        <v>270</v>
      </c>
      <c r="H228" t="s">
        <v>959</v>
      </c>
      <c r="I228" t="s">
        <v>960</v>
      </c>
      <c r="J228" t="s">
        <v>46</v>
      </c>
      <c r="K228">
        <v>93313</v>
      </c>
      <c r="L228">
        <v>35.06</v>
      </c>
      <c r="M228">
        <v>-119.01</v>
      </c>
      <c r="N228" t="s">
        <v>192</v>
      </c>
      <c r="O228" t="s">
        <v>193</v>
      </c>
      <c r="P228" t="s">
        <v>194</v>
      </c>
      <c r="Q228" t="s">
        <v>195</v>
      </c>
      <c r="R228" t="s">
        <v>75</v>
      </c>
      <c r="S228" s="1">
        <v>23324</v>
      </c>
      <c r="T228" s="1">
        <v>23324</v>
      </c>
      <c r="U228">
        <v>0</v>
      </c>
      <c r="V228" s="1">
        <v>20404</v>
      </c>
      <c r="W228">
        <v>116.33</v>
      </c>
      <c r="X228">
        <v>0.04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</row>
    <row r="229" spans="1:41" x14ac:dyDescent="0.2">
      <c r="A229">
        <v>2023</v>
      </c>
      <c r="B229">
        <v>104221</v>
      </c>
      <c r="C229">
        <v>4242</v>
      </c>
      <c r="D229" t="s">
        <v>961</v>
      </c>
      <c r="E229" t="s">
        <v>250</v>
      </c>
      <c r="F229">
        <v>486210</v>
      </c>
      <c r="G229" t="s">
        <v>270</v>
      </c>
      <c r="H229" t="s">
        <v>962</v>
      </c>
      <c r="I229" t="s">
        <v>963</v>
      </c>
      <c r="J229" t="s">
        <v>46</v>
      </c>
      <c r="K229">
        <v>92555</v>
      </c>
      <c r="L229">
        <v>33.908000000000001</v>
      </c>
      <c r="M229">
        <v>-117.121</v>
      </c>
      <c r="N229" t="s">
        <v>964</v>
      </c>
      <c r="O229" t="s">
        <v>475</v>
      </c>
      <c r="P229" t="s">
        <v>49</v>
      </c>
      <c r="Q229" t="s">
        <v>50</v>
      </c>
      <c r="R229" t="s">
        <v>75</v>
      </c>
      <c r="S229" s="1">
        <v>9734</v>
      </c>
      <c r="T229" s="1">
        <v>9734</v>
      </c>
      <c r="U229">
        <v>0</v>
      </c>
      <c r="V229" s="1">
        <v>9724</v>
      </c>
      <c r="W229">
        <v>0.18</v>
      </c>
      <c r="X229">
        <v>0.02</v>
      </c>
      <c r="Y229" s="12">
        <v>0</v>
      </c>
      <c r="Z229" s="12">
        <v>4.8</v>
      </c>
      <c r="AA229" s="12">
        <v>23</v>
      </c>
      <c r="AB229" s="12">
        <v>0.1</v>
      </c>
      <c r="AC229" s="12">
        <v>3.2</v>
      </c>
      <c r="AD229" s="12">
        <v>3.2</v>
      </c>
      <c r="AE229">
        <v>133</v>
      </c>
      <c r="AF229">
        <v>55</v>
      </c>
      <c r="AG229">
        <v>0</v>
      </c>
      <c r="AH229">
        <v>27</v>
      </c>
      <c r="AI229" s="1">
        <v>3703</v>
      </c>
      <c r="AJ229">
        <v>0.15</v>
      </c>
      <c r="AL229">
        <v>3.0000000000000001E-3</v>
      </c>
      <c r="AM229">
        <v>102.062</v>
      </c>
      <c r="AN229">
        <v>72.447000000000003</v>
      </c>
      <c r="AO229">
        <v>365.20800000000003</v>
      </c>
    </row>
    <row r="230" spans="1:41" x14ac:dyDescent="0.2">
      <c r="A230">
        <v>2023</v>
      </c>
      <c r="B230">
        <v>104224</v>
      </c>
      <c r="C230">
        <v>3336</v>
      </c>
      <c r="D230" t="s">
        <v>965</v>
      </c>
      <c r="E230" t="s">
        <v>42</v>
      </c>
      <c r="F230">
        <v>311223</v>
      </c>
      <c r="G230" t="s">
        <v>966</v>
      </c>
      <c r="H230" t="s">
        <v>967</v>
      </c>
      <c r="I230" t="s">
        <v>632</v>
      </c>
      <c r="J230" t="s">
        <v>46</v>
      </c>
      <c r="K230">
        <v>93212</v>
      </c>
      <c r="L230">
        <v>36.090000000000003</v>
      </c>
      <c r="M230">
        <v>-119.55200000000001</v>
      </c>
      <c r="N230" t="s">
        <v>633</v>
      </c>
      <c r="O230" t="s">
        <v>418</v>
      </c>
      <c r="P230" t="s">
        <v>194</v>
      </c>
      <c r="Q230" t="s">
        <v>195</v>
      </c>
      <c r="R230" t="s">
        <v>75</v>
      </c>
      <c r="S230" s="1">
        <v>8765</v>
      </c>
      <c r="T230" s="1">
        <v>8765</v>
      </c>
      <c r="U230">
        <v>0</v>
      </c>
      <c r="V230" s="1">
        <v>8755</v>
      </c>
      <c r="W230">
        <v>0.17</v>
      </c>
      <c r="X230">
        <v>0.02</v>
      </c>
      <c r="Y230" s="12">
        <v>0</v>
      </c>
      <c r="Z230" s="12">
        <v>150.4</v>
      </c>
      <c r="AA230" s="12">
        <v>2.4</v>
      </c>
      <c r="AB230" s="12">
        <v>0.2</v>
      </c>
      <c r="AC230" s="12">
        <v>12.4</v>
      </c>
      <c r="AD230" s="12">
        <v>1.1000000000000001</v>
      </c>
      <c r="AE230">
        <v>1.0629999999999999</v>
      </c>
      <c r="AG230">
        <v>8.0000000000000002E-3</v>
      </c>
      <c r="AH230">
        <v>0.52800000000000002</v>
      </c>
      <c r="AI230">
        <v>2.258</v>
      </c>
      <c r="AL230">
        <v>0.17100000000000001</v>
      </c>
      <c r="AM230">
        <v>0.313</v>
      </c>
      <c r="AN230">
        <v>0.92800000000000005</v>
      </c>
      <c r="AO230">
        <v>15.595000000000001</v>
      </c>
    </row>
    <row r="231" spans="1:41" x14ac:dyDescent="0.2">
      <c r="A231">
        <v>2023</v>
      </c>
      <c r="B231">
        <v>104227</v>
      </c>
      <c r="C231">
        <v>10861</v>
      </c>
      <c r="D231" t="s">
        <v>968</v>
      </c>
      <c r="E231" t="s">
        <v>42</v>
      </c>
      <c r="F231">
        <v>333612</v>
      </c>
      <c r="G231" t="s">
        <v>969</v>
      </c>
      <c r="H231" t="s">
        <v>970</v>
      </c>
      <c r="I231" t="s">
        <v>696</v>
      </c>
      <c r="J231" t="s">
        <v>46</v>
      </c>
      <c r="K231">
        <v>94088</v>
      </c>
      <c r="L231">
        <v>37.42</v>
      </c>
      <c r="M231">
        <v>-122</v>
      </c>
      <c r="N231" t="s">
        <v>370</v>
      </c>
      <c r="O231" t="s">
        <v>107</v>
      </c>
      <c r="P231" t="s">
        <v>108</v>
      </c>
      <c r="Q231" t="s">
        <v>109</v>
      </c>
      <c r="R231" t="s">
        <v>51</v>
      </c>
      <c r="S231" s="1">
        <v>35104</v>
      </c>
      <c r="T231" s="1">
        <v>35104</v>
      </c>
      <c r="U231">
        <v>0</v>
      </c>
      <c r="V231" s="1">
        <v>35068</v>
      </c>
      <c r="W231">
        <v>0.66</v>
      </c>
      <c r="X231">
        <v>7.0000000000000007E-2</v>
      </c>
      <c r="Y231" s="12">
        <v>35104</v>
      </c>
      <c r="Z231" s="12">
        <v>3.7</v>
      </c>
      <c r="AA231" s="12">
        <v>4.9000000000000004</v>
      </c>
      <c r="AB231" s="12">
        <v>0.2</v>
      </c>
      <c r="AC231" s="12">
        <v>1.1000000000000001</v>
      </c>
      <c r="AD231" s="12">
        <v>1.1000000000000001</v>
      </c>
      <c r="AE231">
        <v>4.08</v>
      </c>
      <c r="AG231">
        <v>0</v>
      </c>
      <c r="AH231">
        <v>2.02</v>
      </c>
      <c r="AI231">
        <v>118</v>
      </c>
      <c r="AL231">
        <v>1.28</v>
      </c>
      <c r="AM231">
        <v>1.7769999999999999</v>
      </c>
      <c r="AN231">
        <v>2.778</v>
      </c>
      <c r="AO231">
        <v>39.200000000000003</v>
      </c>
    </row>
    <row r="232" spans="1:41" x14ac:dyDescent="0.2">
      <c r="A232">
        <v>2023</v>
      </c>
      <c r="B232">
        <v>104322</v>
      </c>
      <c r="C232">
        <v>364</v>
      </c>
      <c r="D232" t="s">
        <v>971</v>
      </c>
      <c r="E232" t="s">
        <v>42</v>
      </c>
      <c r="F232">
        <v>212299</v>
      </c>
      <c r="G232" t="s">
        <v>972</v>
      </c>
      <c r="H232" t="s">
        <v>973</v>
      </c>
      <c r="I232" t="s">
        <v>974</v>
      </c>
      <c r="J232" t="s">
        <v>46</v>
      </c>
      <c r="K232">
        <v>92366</v>
      </c>
      <c r="L232">
        <v>35.473999999999997</v>
      </c>
      <c r="M232">
        <v>-115.52800000000001</v>
      </c>
      <c r="N232" t="s">
        <v>540</v>
      </c>
      <c r="O232" t="s">
        <v>57</v>
      </c>
      <c r="P232" t="s">
        <v>58</v>
      </c>
      <c r="Q232" t="s">
        <v>59</v>
      </c>
      <c r="R232" t="s">
        <v>51</v>
      </c>
      <c r="S232" s="1">
        <v>58672</v>
      </c>
      <c r="T232" s="1">
        <v>58672</v>
      </c>
      <c r="U232">
        <v>0</v>
      </c>
      <c r="V232" s="1">
        <v>58611</v>
      </c>
      <c r="W232">
        <v>1.1100000000000001</v>
      </c>
      <c r="X232">
        <v>0.11</v>
      </c>
      <c r="Y232" s="12">
        <v>58495</v>
      </c>
      <c r="Z232" s="12">
        <v>1.7</v>
      </c>
      <c r="AA232" s="12">
        <v>4.9000000000000004</v>
      </c>
      <c r="AB232" s="12">
        <v>0.3</v>
      </c>
      <c r="AC232" s="12">
        <v>10.6</v>
      </c>
      <c r="AD232" s="12">
        <v>6.9</v>
      </c>
      <c r="AE232">
        <v>14.5</v>
      </c>
      <c r="AF232">
        <v>0.123</v>
      </c>
      <c r="AG232">
        <v>0</v>
      </c>
      <c r="AH232">
        <v>30</v>
      </c>
      <c r="AI232" s="1">
        <v>1437</v>
      </c>
      <c r="AJ232" s="1">
        <v>1154</v>
      </c>
      <c r="AL232">
        <v>0.157</v>
      </c>
      <c r="AM232">
        <v>8.3629999999999995</v>
      </c>
      <c r="AN232">
        <v>196.095</v>
      </c>
      <c r="AO232">
        <v>156.12799999999999</v>
      </c>
    </row>
    <row r="233" spans="1:41" x14ac:dyDescent="0.2">
      <c r="A233">
        <v>2023</v>
      </c>
      <c r="B233">
        <v>104324</v>
      </c>
      <c r="C233">
        <v>800409</v>
      </c>
      <c r="D233" t="s">
        <v>975</v>
      </c>
      <c r="E233" t="s">
        <v>42</v>
      </c>
      <c r="F233">
        <v>336414</v>
      </c>
      <c r="G233" t="s">
        <v>694</v>
      </c>
      <c r="H233" t="s">
        <v>976</v>
      </c>
      <c r="I233" t="s">
        <v>977</v>
      </c>
      <c r="J233" t="s">
        <v>46</v>
      </c>
      <c r="K233">
        <v>90278</v>
      </c>
      <c r="L233">
        <v>33.890999999999998</v>
      </c>
      <c r="M233">
        <v>-118.374</v>
      </c>
      <c r="N233" t="s">
        <v>978</v>
      </c>
      <c r="O233" t="s">
        <v>48</v>
      </c>
      <c r="P233" t="s">
        <v>49</v>
      </c>
      <c r="Q233" t="s">
        <v>50</v>
      </c>
      <c r="R233" t="s">
        <v>75</v>
      </c>
      <c r="S233" s="1">
        <v>10065</v>
      </c>
      <c r="T233" s="1">
        <v>10065</v>
      </c>
      <c r="U233">
        <v>0</v>
      </c>
      <c r="V233" s="1">
        <v>10054</v>
      </c>
      <c r="W233">
        <v>0.19</v>
      </c>
      <c r="X233">
        <v>0.02</v>
      </c>
      <c r="Y233" s="12">
        <v>0</v>
      </c>
      <c r="Z233" s="12">
        <v>2.8</v>
      </c>
      <c r="AA233" s="12">
        <v>16.2</v>
      </c>
      <c r="AB233" s="12">
        <v>0.1</v>
      </c>
      <c r="AC233" s="12">
        <v>3.7</v>
      </c>
      <c r="AD233" s="12">
        <v>2.7</v>
      </c>
      <c r="AE233">
        <v>2.63</v>
      </c>
      <c r="AF233">
        <v>0.81299999999999994</v>
      </c>
      <c r="AG233">
        <v>0</v>
      </c>
      <c r="AH233">
        <v>34.6</v>
      </c>
      <c r="AI233">
        <v>10.5</v>
      </c>
      <c r="AJ233">
        <v>93.1</v>
      </c>
      <c r="AL233">
        <v>2.1999999999999999E-2</v>
      </c>
      <c r="AM233">
        <v>3.6389999999999998</v>
      </c>
      <c r="AN233">
        <v>27.791</v>
      </c>
      <c r="AO233">
        <v>84.87</v>
      </c>
    </row>
    <row r="234" spans="1:41" x14ac:dyDescent="0.2">
      <c r="A234">
        <v>2023</v>
      </c>
      <c r="B234">
        <v>104325</v>
      </c>
      <c r="C234">
        <v>12870</v>
      </c>
      <c r="D234" t="s">
        <v>979</v>
      </c>
      <c r="E234" t="s">
        <v>42</v>
      </c>
      <c r="F234">
        <v>325188</v>
      </c>
      <c r="G234" t="s">
        <v>169</v>
      </c>
      <c r="H234" t="s">
        <v>980</v>
      </c>
      <c r="I234" t="s">
        <v>171</v>
      </c>
      <c r="J234" t="s">
        <v>46</v>
      </c>
      <c r="K234">
        <v>94553</v>
      </c>
      <c r="L234">
        <v>38.027000000000001</v>
      </c>
      <c r="M234">
        <v>-122.117</v>
      </c>
      <c r="N234" t="s">
        <v>172</v>
      </c>
      <c r="O234" t="s">
        <v>173</v>
      </c>
      <c r="P234" t="s">
        <v>108</v>
      </c>
      <c r="Q234" t="s">
        <v>109</v>
      </c>
      <c r="R234" t="s">
        <v>75</v>
      </c>
      <c r="S234" s="1">
        <v>10458</v>
      </c>
      <c r="T234" s="1">
        <v>10458</v>
      </c>
      <c r="U234">
        <v>0</v>
      </c>
      <c r="V234" s="1">
        <v>10447</v>
      </c>
      <c r="W234">
        <v>0.2</v>
      </c>
      <c r="X234">
        <v>0.02</v>
      </c>
      <c r="Y234" s="12">
        <v>0</v>
      </c>
      <c r="Z234" s="12">
        <v>13.4</v>
      </c>
      <c r="AA234" s="12">
        <v>125.9</v>
      </c>
      <c r="AB234" s="12">
        <v>0.5</v>
      </c>
      <c r="AC234" s="12">
        <v>2.7</v>
      </c>
      <c r="AD234" s="12">
        <v>2.7</v>
      </c>
      <c r="AE234">
        <v>11.2</v>
      </c>
      <c r="AI234">
        <v>136</v>
      </c>
      <c r="AL234">
        <v>7.4999999999999997E-2</v>
      </c>
      <c r="AM234">
        <v>0.57499999999999996</v>
      </c>
      <c r="AN234">
        <v>0.47</v>
      </c>
      <c r="AO234">
        <v>10.406000000000001</v>
      </c>
    </row>
    <row r="235" spans="1:41" x14ac:dyDescent="0.2">
      <c r="A235">
        <v>2023</v>
      </c>
      <c r="B235">
        <v>104329</v>
      </c>
      <c r="C235">
        <v>16639</v>
      </c>
      <c r="D235" t="s">
        <v>981</v>
      </c>
      <c r="E235" t="s">
        <v>42</v>
      </c>
      <c r="F235">
        <v>332111</v>
      </c>
      <c r="G235" t="s">
        <v>982</v>
      </c>
      <c r="H235" t="s">
        <v>983</v>
      </c>
      <c r="I235" t="s">
        <v>376</v>
      </c>
      <c r="J235" t="s">
        <v>46</v>
      </c>
      <c r="K235">
        <v>90280</v>
      </c>
      <c r="L235">
        <v>33.950000000000003</v>
      </c>
      <c r="M235">
        <v>-118.17400000000001</v>
      </c>
      <c r="N235" t="s">
        <v>984</v>
      </c>
      <c r="O235" t="s">
        <v>48</v>
      </c>
      <c r="P235" t="s">
        <v>49</v>
      </c>
      <c r="Q235" t="s">
        <v>50</v>
      </c>
      <c r="R235" t="s">
        <v>51</v>
      </c>
      <c r="S235" s="1">
        <v>20426</v>
      </c>
      <c r="T235" s="1">
        <v>20426</v>
      </c>
      <c r="U235">
        <v>0</v>
      </c>
      <c r="V235" s="1">
        <v>20404</v>
      </c>
      <c r="W235">
        <v>0.38</v>
      </c>
      <c r="X235">
        <v>0.04</v>
      </c>
      <c r="Y235" s="12">
        <v>20426</v>
      </c>
      <c r="Z235" s="12">
        <v>3</v>
      </c>
      <c r="AA235" s="12">
        <v>12.4</v>
      </c>
      <c r="AB235" s="12">
        <v>0.1</v>
      </c>
      <c r="AC235" s="12">
        <v>1.5</v>
      </c>
      <c r="AD235" s="12">
        <v>1.5</v>
      </c>
      <c r="AE235">
        <v>2.59</v>
      </c>
      <c r="AF235">
        <v>6.7000000000000004E-2</v>
      </c>
      <c r="AG235">
        <v>5.0000000000000001E-3</v>
      </c>
      <c r="AH235">
        <v>4.17</v>
      </c>
      <c r="AI235">
        <v>6.7</v>
      </c>
      <c r="AJ235">
        <v>2.3E-2</v>
      </c>
      <c r="AL235">
        <v>0.94099999999999995</v>
      </c>
      <c r="AM235">
        <v>0.99299999999999999</v>
      </c>
      <c r="AN235">
        <v>1.794</v>
      </c>
      <c r="AO235">
        <v>18.675000000000001</v>
      </c>
    </row>
    <row r="236" spans="1:41" x14ac:dyDescent="0.2">
      <c r="A236">
        <v>2023</v>
      </c>
      <c r="B236">
        <v>104330</v>
      </c>
      <c r="C236">
        <v>89296</v>
      </c>
      <c r="D236" t="s">
        <v>985</v>
      </c>
      <c r="E236" t="s">
        <v>42</v>
      </c>
      <c r="F236">
        <v>924110</v>
      </c>
      <c r="G236" t="s">
        <v>986</v>
      </c>
      <c r="H236" t="s">
        <v>987</v>
      </c>
      <c r="I236" t="s">
        <v>126</v>
      </c>
      <c r="J236" t="s">
        <v>46</v>
      </c>
      <c r="K236">
        <v>92101</v>
      </c>
      <c r="L236">
        <v>32.728999999999999</v>
      </c>
      <c r="M236">
        <v>-117.211</v>
      </c>
      <c r="N236" t="s">
        <v>988</v>
      </c>
      <c r="O236" t="s">
        <v>126</v>
      </c>
      <c r="P236" t="s">
        <v>127</v>
      </c>
      <c r="Q236" t="s">
        <v>126</v>
      </c>
      <c r="R236" t="s">
        <v>75</v>
      </c>
      <c r="S236" s="1">
        <v>6883</v>
      </c>
      <c r="T236" s="1">
        <v>6883</v>
      </c>
      <c r="U236">
        <v>0</v>
      </c>
      <c r="V236" s="1">
        <v>6876</v>
      </c>
      <c r="W236">
        <v>0.13</v>
      </c>
      <c r="X236">
        <v>0.01</v>
      </c>
      <c r="Y236" s="12">
        <v>0</v>
      </c>
      <c r="Z236" s="12">
        <v>1.2</v>
      </c>
      <c r="AA236" s="12">
        <v>10.6</v>
      </c>
      <c r="AB236" s="12">
        <v>0</v>
      </c>
      <c r="AC236" s="12">
        <v>0.7</v>
      </c>
      <c r="AD236" s="12">
        <v>0.7</v>
      </c>
      <c r="AE236">
        <v>12.7</v>
      </c>
      <c r="AF236">
        <v>5.31</v>
      </c>
      <c r="AG236">
        <v>33.6</v>
      </c>
      <c r="AH236">
        <v>20</v>
      </c>
      <c r="AI236">
        <v>706</v>
      </c>
      <c r="AJ236">
        <v>1.25</v>
      </c>
      <c r="AK236">
        <v>155</v>
      </c>
      <c r="AL236">
        <v>2.5999999999999999E-2</v>
      </c>
      <c r="AM236">
        <v>3.2120000000000002</v>
      </c>
      <c r="AN236">
        <v>4.9619999999999997</v>
      </c>
      <c r="AO236" s="2">
        <v>38972.504999999997</v>
      </c>
    </row>
    <row r="237" spans="1:41" x14ac:dyDescent="0.2">
      <c r="A237">
        <v>2023</v>
      </c>
      <c r="B237">
        <v>104334</v>
      </c>
      <c r="C237">
        <v>72</v>
      </c>
      <c r="D237" t="s">
        <v>989</v>
      </c>
      <c r="E237" t="s">
        <v>42</v>
      </c>
      <c r="F237">
        <v>311613</v>
      </c>
      <c r="G237" t="s">
        <v>725</v>
      </c>
      <c r="H237" t="s">
        <v>990</v>
      </c>
      <c r="I237" t="s">
        <v>991</v>
      </c>
      <c r="J237" t="s">
        <v>46</v>
      </c>
      <c r="K237">
        <v>93630</v>
      </c>
      <c r="L237">
        <v>36.703000000000003</v>
      </c>
      <c r="M237">
        <v>-120.095</v>
      </c>
      <c r="N237" t="s">
        <v>992</v>
      </c>
      <c r="O237" t="s">
        <v>303</v>
      </c>
      <c r="P237" t="s">
        <v>194</v>
      </c>
      <c r="Q237" t="s">
        <v>195</v>
      </c>
      <c r="R237" t="s">
        <v>75</v>
      </c>
      <c r="S237" s="1">
        <v>16351</v>
      </c>
      <c r="T237" s="1">
        <v>16351</v>
      </c>
      <c r="U237">
        <v>0</v>
      </c>
      <c r="V237" s="1">
        <v>16334</v>
      </c>
      <c r="W237">
        <v>0.31</v>
      </c>
      <c r="X237">
        <v>0.03</v>
      </c>
      <c r="Y237" s="12">
        <v>0</v>
      </c>
      <c r="Z237" s="12">
        <v>0.6</v>
      </c>
      <c r="AA237" s="12">
        <v>14</v>
      </c>
      <c r="AB237" s="12">
        <v>5.8</v>
      </c>
      <c r="AC237" s="12">
        <v>4.3</v>
      </c>
      <c r="AD237" s="12">
        <v>3.9</v>
      </c>
      <c r="AE237">
        <v>0.97199999999999998</v>
      </c>
      <c r="AH237">
        <v>1.77</v>
      </c>
      <c r="AI237">
        <v>2.0299999999999998</v>
      </c>
      <c r="AM237">
        <v>4.3999999999999997E-2</v>
      </c>
      <c r="AN237">
        <v>3.9E-2</v>
      </c>
      <c r="AO237">
        <v>4.5759999999999996</v>
      </c>
    </row>
    <row r="238" spans="1:41" x14ac:dyDescent="0.2">
      <c r="A238">
        <v>2023</v>
      </c>
      <c r="B238">
        <v>104337</v>
      </c>
      <c r="C238">
        <v>63180</v>
      </c>
      <c r="D238" t="s">
        <v>993</v>
      </c>
      <c r="E238" t="s">
        <v>42</v>
      </c>
      <c r="F238">
        <v>311613</v>
      </c>
      <c r="G238" t="s">
        <v>725</v>
      </c>
      <c r="H238" t="s">
        <v>994</v>
      </c>
      <c r="I238" t="s">
        <v>48</v>
      </c>
      <c r="J238" t="s">
        <v>46</v>
      </c>
      <c r="K238">
        <v>90058</v>
      </c>
      <c r="L238">
        <v>34.015000000000001</v>
      </c>
      <c r="M238">
        <v>-118.22499999999999</v>
      </c>
      <c r="N238" t="s">
        <v>995</v>
      </c>
      <c r="O238" t="s">
        <v>48</v>
      </c>
      <c r="P238" t="s">
        <v>49</v>
      </c>
      <c r="Q238" t="s">
        <v>50</v>
      </c>
      <c r="R238" t="s">
        <v>51</v>
      </c>
      <c r="S238" s="1">
        <v>25449</v>
      </c>
      <c r="T238" s="1">
        <v>25449</v>
      </c>
      <c r="U238">
        <v>0</v>
      </c>
      <c r="V238" s="1">
        <v>25423</v>
      </c>
      <c r="W238">
        <v>0.48</v>
      </c>
      <c r="X238">
        <v>0.05</v>
      </c>
      <c r="Y238" s="12">
        <v>25449</v>
      </c>
      <c r="Z238" s="12">
        <v>1.3</v>
      </c>
      <c r="AA238" s="12">
        <v>1.8</v>
      </c>
      <c r="AB238" s="12">
        <v>0.1</v>
      </c>
      <c r="AC238" s="12">
        <v>1.8</v>
      </c>
      <c r="AD238" s="12">
        <v>1.8</v>
      </c>
      <c r="AE238">
        <v>0.83</v>
      </c>
      <c r="AF238">
        <v>0</v>
      </c>
      <c r="AI238">
        <v>1.76</v>
      </c>
      <c r="AL238">
        <v>0</v>
      </c>
      <c r="AM238">
        <v>9.7000000000000003E-2</v>
      </c>
      <c r="AN238">
        <v>0.123</v>
      </c>
      <c r="AO238">
        <v>0.73199999999999998</v>
      </c>
    </row>
    <row r="239" spans="1:41" x14ac:dyDescent="0.2">
      <c r="A239">
        <v>2023</v>
      </c>
      <c r="B239">
        <v>104338</v>
      </c>
      <c r="C239">
        <v>406</v>
      </c>
      <c r="D239" t="s">
        <v>996</v>
      </c>
      <c r="E239" t="s">
        <v>42</v>
      </c>
      <c r="F239">
        <v>311613</v>
      </c>
      <c r="G239" t="s">
        <v>725</v>
      </c>
      <c r="H239" t="s">
        <v>997</v>
      </c>
      <c r="I239" t="s">
        <v>303</v>
      </c>
      <c r="J239" t="s">
        <v>46</v>
      </c>
      <c r="K239">
        <v>93706</v>
      </c>
      <c r="L239">
        <v>36.715000000000003</v>
      </c>
      <c r="M239">
        <v>-119.82</v>
      </c>
      <c r="N239" t="s">
        <v>998</v>
      </c>
      <c r="O239" t="s">
        <v>303</v>
      </c>
      <c r="P239" t="s">
        <v>194</v>
      </c>
      <c r="Q239" t="s">
        <v>195</v>
      </c>
      <c r="R239" t="s">
        <v>75</v>
      </c>
      <c r="S239" s="1">
        <v>10754</v>
      </c>
      <c r="T239" s="1">
        <v>10754</v>
      </c>
      <c r="U239">
        <v>0</v>
      </c>
      <c r="V239" s="1">
        <v>10743</v>
      </c>
      <c r="W239">
        <v>0.2</v>
      </c>
      <c r="X239">
        <v>0.02</v>
      </c>
      <c r="Y239" s="12">
        <v>0</v>
      </c>
      <c r="Z239" s="12">
        <v>0.3</v>
      </c>
      <c r="AA239" s="12">
        <v>4.0999999999999996</v>
      </c>
      <c r="AB239" s="12">
        <v>0.2</v>
      </c>
      <c r="AC239" s="12">
        <v>1.1000000000000001</v>
      </c>
      <c r="AD239" s="12">
        <v>1.1000000000000001</v>
      </c>
      <c r="AE239">
        <v>1.18</v>
      </c>
      <c r="AI239">
        <v>2.4900000000000002</v>
      </c>
      <c r="AM239">
        <v>5.5E-2</v>
      </c>
      <c r="AN239">
        <v>4.1000000000000002E-2</v>
      </c>
      <c r="AO239">
        <v>0.60499999999999998</v>
      </c>
    </row>
    <row r="240" spans="1:41" x14ac:dyDescent="0.2">
      <c r="A240">
        <v>2023</v>
      </c>
      <c r="B240">
        <v>104339</v>
      </c>
      <c r="C240">
        <v>2107</v>
      </c>
      <c r="D240" t="s">
        <v>999</v>
      </c>
      <c r="E240" t="s">
        <v>42</v>
      </c>
      <c r="F240">
        <v>311613</v>
      </c>
      <c r="G240" t="s">
        <v>725</v>
      </c>
      <c r="H240" t="s">
        <v>1000</v>
      </c>
      <c r="I240" t="s">
        <v>1001</v>
      </c>
      <c r="J240" t="s">
        <v>46</v>
      </c>
      <c r="K240">
        <v>95313</v>
      </c>
      <c r="L240">
        <v>37.465000000000003</v>
      </c>
      <c r="M240">
        <v>-121.03</v>
      </c>
      <c r="N240" t="s">
        <v>1002</v>
      </c>
      <c r="O240" t="s">
        <v>335</v>
      </c>
      <c r="P240" t="s">
        <v>194</v>
      </c>
      <c r="Q240" t="s">
        <v>195</v>
      </c>
      <c r="R240" t="s">
        <v>75</v>
      </c>
      <c r="S240" s="1">
        <v>19387</v>
      </c>
      <c r="T240" s="1">
        <v>19387</v>
      </c>
      <c r="U240">
        <v>0</v>
      </c>
      <c r="V240" s="1">
        <v>19367</v>
      </c>
      <c r="W240">
        <v>0.37</v>
      </c>
      <c r="X240">
        <v>0.04</v>
      </c>
      <c r="Y240" s="12">
        <v>0</v>
      </c>
      <c r="Z240" s="12">
        <v>2.2000000000000002</v>
      </c>
      <c r="AA240" s="12">
        <v>1</v>
      </c>
      <c r="AB240" s="12">
        <v>10.6</v>
      </c>
      <c r="AC240" s="12">
        <v>0.2</v>
      </c>
      <c r="AD240" s="12">
        <v>0.2</v>
      </c>
      <c r="AE240">
        <v>2.25</v>
      </c>
      <c r="AI240">
        <v>4.76</v>
      </c>
      <c r="AM240">
        <v>0.121</v>
      </c>
      <c r="AN240">
        <v>0.108</v>
      </c>
      <c r="AO240">
        <v>1.149</v>
      </c>
    </row>
    <row r="241" spans="1:41" x14ac:dyDescent="0.2">
      <c r="A241">
        <v>2023</v>
      </c>
      <c r="B241">
        <v>104340</v>
      </c>
      <c r="C241">
        <v>227</v>
      </c>
      <c r="D241" t="s">
        <v>1003</v>
      </c>
      <c r="E241" t="s">
        <v>42</v>
      </c>
      <c r="F241">
        <v>325188</v>
      </c>
      <c r="G241" t="s">
        <v>169</v>
      </c>
      <c r="H241" t="s">
        <v>1004</v>
      </c>
      <c r="I241" t="s">
        <v>230</v>
      </c>
      <c r="J241" t="s">
        <v>46</v>
      </c>
      <c r="K241">
        <v>94565</v>
      </c>
      <c r="L241">
        <v>38.027999999999999</v>
      </c>
      <c r="M241">
        <v>-121.943</v>
      </c>
      <c r="N241" t="s">
        <v>1005</v>
      </c>
      <c r="O241" t="s">
        <v>173</v>
      </c>
      <c r="P241" t="s">
        <v>108</v>
      </c>
      <c r="Q241" t="s">
        <v>109</v>
      </c>
      <c r="R241" t="s">
        <v>75</v>
      </c>
      <c r="S241" s="1">
        <v>14644</v>
      </c>
      <c r="T241" s="1">
        <v>14644</v>
      </c>
      <c r="U241">
        <v>0</v>
      </c>
      <c r="V241" s="1">
        <v>14629</v>
      </c>
      <c r="W241">
        <v>0.28000000000000003</v>
      </c>
      <c r="X241">
        <v>0.03</v>
      </c>
      <c r="Y241" s="12">
        <v>0</v>
      </c>
      <c r="Z241" s="12">
        <v>8.4</v>
      </c>
      <c r="AA241" s="12">
        <v>117.6</v>
      </c>
      <c r="AB241" s="12">
        <v>3.2</v>
      </c>
      <c r="AC241" s="12">
        <v>9.4</v>
      </c>
      <c r="AD241" s="12">
        <v>9.3000000000000007</v>
      </c>
      <c r="AE241">
        <v>10.8</v>
      </c>
      <c r="AI241">
        <v>127</v>
      </c>
      <c r="AL241">
        <v>168</v>
      </c>
      <c r="AM241">
        <v>145.94399999999999</v>
      </c>
      <c r="AN241">
        <v>207.68299999999999</v>
      </c>
      <c r="AO241">
        <v>396.37</v>
      </c>
    </row>
    <row r="242" spans="1:41" x14ac:dyDescent="0.2">
      <c r="A242">
        <v>2023</v>
      </c>
      <c r="B242">
        <v>104345</v>
      </c>
      <c r="C242">
        <v>3704</v>
      </c>
      <c r="D242" t="s">
        <v>1006</v>
      </c>
      <c r="E242" t="s">
        <v>42</v>
      </c>
      <c r="F242">
        <v>324121</v>
      </c>
      <c r="G242" t="s">
        <v>1007</v>
      </c>
      <c r="H242" t="s">
        <v>1008</v>
      </c>
      <c r="I242" t="s">
        <v>473</v>
      </c>
      <c r="J242" t="s">
        <v>46</v>
      </c>
      <c r="K242">
        <v>92879</v>
      </c>
      <c r="L242">
        <v>33.868000000000002</v>
      </c>
      <c r="M242">
        <v>-117.524</v>
      </c>
      <c r="N242" t="s">
        <v>1009</v>
      </c>
      <c r="O242" t="s">
        <v>475</v>
      </c>
      <c r="P242" t="s">
        <v>49</v>
      </c>
      <c r="Q242" t="s">
        <v>50</v>
      </c>
      <c r="R242" t="s">
        <v>75</v>
      </c>
      <c r="S242" s="1">
        <v>12858</v>
      </c>
      <c r="T242" s="1">
        <v>12858</v>
      </c>
      <c r="U242">
        <v>0</v>
      </c>
      <c r="V242" s="1">
        <v>12845</v>
      </c>
      <c r="W242">
        <v>0.24</v>
      </c>
      <c r="X242">
        <v>0.02</v>
      </c>
      <c r="Y242" s="12">
        <v>0</v>
      </c>
      <c r="Z242" s="12">
        <v>17.100000000000001</v>
      </c>
      <c r="AA242" s="12">
        <v>4.2</v>
      </c>
      <c r="AB242" s="12">
        <v>0.1</v>
      </c>
      <c r="AC242" s="12">
        <v>23.9</v>
      </c>
      <c r="AD242" s="12">
        <v>15</v>
      </c>
      <c r="AE242">
        <v>344</v>
      </c>
      <c r="AF242">
        <v>2.14</v>
      </c>
      <c r="AG242">
        <v>0.36799999999999999</v>
      </c>
      <c r="AH242">
        <v>153</v>
      </c>
      <c r="AI242" s="1">
        <v>3052</v>
      </c>
      <c r="AJ242">
        <v>0.85299999999999998</v>
      </c>
      <c r="AK242">
        <v>840</v>
      </c>
      <c r="AL242">
        <v>13.2</v>
      </c>
      <c r="AM242">
        <v>37.427999999999997</v>
      </c>
      <c r="AN242">
        <v>77.475999999999999</v>
      </c>
      <c r="AO242" s="2">
        <v>1803.3389999999999</v>
      </c>
    </row>
    <row r="243" spans="1:41" x14ac:dyDescent="0.2">
      <c r="A243">
        <v>2023</v>
      </c>
      <c r="B243">
        <v>104347</v>
      </c>
      <c r="C243">
        <v>7488</v>
      </c>
      <c r="D243" t="s">
        <v>1010</v>
      </c>
      <c r="E243" t="s">
        <v>42</v>
      </c>
      <c r="F243">
        <v>325193</v>
      </c>
      <c r="G243" t="s">
        <v>1011</v>
      </c>
      <c r="H243" t="s">
        <v>1012</v>
      </c>
      <c r="I243" t="s">
        <v>1013</v>
      </c>
      <c r="J243" t="s">
        <v>46</v>
      </c>
      <c r="K243">
        <v>95307</v>
      </c>
      <c r="L243">
        <v>37.552999999999997</v>
      </c>
      <c r="M243">
        <v>-120.916</v>
      </c>
      <c r="N243" t="s">
        <v>1014</v>
      </c>
      <c r="O243" t="s">
        <v>335</v>
      </c>
      <c r="P243" t="s">
        <v>194</v>
      </c>
      <c r="Q243" t="s">
        <v>195</v>
      </c>
      <c r="R243" t="s">
        <v>51</v>
      </c>
      <c r="S243" s="1">
        <v>67194</v>
      </c>
      <c r="T243" s="1">
        <v>40538</v>
      </c>
      <c r="U243" s="1">
        <v>26656</v>
      </c>
      <c r="V243" s="1">
        <v>67152</v>
      </c>
      <c r="W243">
        <v>0.76</v>
      </c>
      <c r="X243">
        <v>0.08</v>
      </c>
      <c r="Y243" s="12">
        <v>40538</v>
      </c>
      <c r="Z243" s="12">
        <v>5.8</v>
      </c>
      <c r="AA243" s="12">
        <v>0.1</v>
      </c>
      <c r="AB243" s="12">
        <v>0</v>
      </c>
      <c r="AC243" s="12">
        <v>3.1</v>
      </c>
      <c r="AD243" s="12">
        <v>1.2</v>
      </c>
      <c r="AE243">
        <v>0.22800000000000001</v>
      </c>
      <c r="AH243">
        <v>1.86</v>
      </c>
      <c r="AI243">
        <v>33.5</v>
      </c>
      <c r="AL243">
        <v>1.7000000000000001E-2</v>
      </c>
      <c r="AM243">
        <v>0.27100000000000002</v>
      </c>
      <c r="AN243">
        <v>0.21099999999999999</v>
      </c>
      <c r="AO243">
        <v>7.3719999999999999</v>
      </c>
    </row>
    <row r="244" spans="1:41" x14ac:dyDescent="0.2">
      <c r="A244">
        <v>2023</v>
      </c>
      <c r="B244">
        <v>104349</v>
      </c>
      <c r="C244">
        <v>83102</v>
      </c>
      <c r="D244" t="s">
        <v>1015</v>
      </c>
      <c r="E244" t="s">
        <v>42</v>
      </c>
      <c r="F244">
        <v>331314</v>
      </c>
      <c r="G244" t="s">
        <v>291</v>
      </c>
      <c r="H244" t="s">
        <v>1016</v>
      </c>
      <c r="I244" t="s">
        <v>922</v>
      </c>
      <c r="J244" t="s">
        <v>46</v>
      </c>
      <c r="K244">
        <v>91746</v>
      </c>
      <c r="L244">
        <v>34.055999999999997</v>
      </c>
      <c r="M244">
        <v>-117.98699999999999</v>
      </c>
      <c r="N244" t="s">
        <v>1017</v>
      </c>
      <c r="O244" t="s">
        <v>48</v>
      </c>
      <c r="P244" t="s">
        <v>49</v>
      </c>
      <c r="Q244" t="s">
        <v>50</v>
      </c>
      <c r="R244" t="s">
        <v>75</v>
      </c>
      <c r="S244" s="1">
        <v>10329</v>
      </c>
      <c r="T244" s="1">
        <v>10329</v>
      </c>
      <c r="U244">
        <v>0</v>
      </c>
      <c r="V244" s="1">
        <v>10319</v>
      </c>
      <c r="W244">
        <v>0.19</v>
      </c>
      <c r="X244">
        <v>0.02</v>
      </c>
      <c r="Y244" s="12">
        <v>0</v>
      </c>
      <c r="Z244" s="12">
        <v>0.8</v>
      </c>
      <c r="AA244" s="12">
        <v>6.7</v>
      </c>
      <c r="AB244" s="12">
        <v>0.1</v>
      </c>
      <c r="AC244" s="12">
        <v>2.5</v>
      </c>
      <c r="AD244" s="12">
        <v>2.4</v>
      </c>
      <c r="AE244">
        <v>1.75</v>
      </c>
      <c r="AF244">
        <v>0.14000000000000001</v>
      </c>
      <c r="AI244">
        <v>77.900000000000006</v>
      </c>
      <c r="AJ244" s="1">
        <v>1356</v>
      </c>
      <c r="AK244">
        <v>846</v>
      </c>
      <c r="AL244">
        <v>0.63100000000000001</v>
      </c>
      <c r="AM244">
        <v>4.7210000000000001</v>
      </c>
      <c r="AN244">
        <v>11.022</v>
      </c>
      <c r="AO244">
        <v>28.425999999999998</v>
      </c>
    </row>
    <row r="245" spans="1:41" x14ac:dyDescent="0.2">
      <c r="A245">
        <v>2023</v>
      </c>
      <c r="B245">
        <v>104350</v>
      </c>
      <c r="C245">
        <v>15507</v>
      </c>
      <c r="D245" t="s">
        <v>1018</v>
      </c>
      <c r="E245" t="s">
        <v>42</v>
      </c>
      <c r="F245">
        <v>611310</v>
      </c>
      <c r="G245" t="s">
        <v>103</v>
      </c>
      <c r="H245" t="s">
        <v>1019</v>
      </c>
      <c r="I245" t="s">
        <v>1020</v>
      </c>
      <c r="J245" t="s">
        <v>46</v>
      </c>
      <c r="K245">
        <v>92831</v>
      </c>
      <c r="L245">
        <v>33.878</v>
      </c>
      <c r="M245">
        <v>-117.89</v>
      </c>
      <c r="N245" t="s">
        <v>1021</v>
      </c>
      <c r="O245" t="s">
        <v>167</v>
      </c>
      <c r="P245" t="s">
        <v>49</v>
      </c>
      <c r="Q245" t="s">
        <v>50</v>
      </c>
      <c r="R245" t="s">
        <v>75</v>
      </c>
      <c r="S245" s="1">
        <v>20317</v>
      </c>
      <c r="T245" s="1">
        <v>20317</v>
      </c>
      <c r="U245">
        <v>0</v>
      </c>
      <c r="V245" s="1">
        <v>20296</v>
      </c>
      <c r="W245">
        <v>0.38</v>
      </c>
      <c r="X245">
        <v>0.04</v>
      </c>
      <c r="Y245" s="12">
        <v>0</v>
      </c>
      <c r="Z245" s="12">
        <v>1.2</v>
      </c>
      <c r="AA245" s="12">
        <v>4.4000000000000004</v>
      </c>
      <c r="AB245" s="12">
        <v>0</v>
      </c>
      <c r="AC245" s="12">
        <v>1.8</v>
      </c>
      <c r="AD245" s="12">
        <v>1.3</v>
      </c>
      <c r="AE245">
        <v>4.99</v>
      </c>
      <c r="AF245">
        <v>1.43</v>
      </c>
      <c r="AG245">
        <v>1E-3</v>
      </c>
      <c r="AH245">
        <v>126</v>
      </c>
      <c r="AI245">
        <v>236</v>
      </c>
      <c r="AJ245">
        <v>1.0900000000000001</v>
      </c>
      <c r="AL245">
        <v>2.3E-2</v>
      </c>
      <c r="AM245">
        <v>1.2709999999999999</v>
      </c>
      <c r="AN245">
        <v>1.6020000000000001</v>
      </c>
      <c r="AO245">
        <v>354.19099999999997</v>
      </c>
    </row>
    <row r="246" spans="1:41" x14ac:dyDescent="0.2">
      <c r="A246">
        <v>2023</v>
      </c>
      <c r="B246">
        <v>104353</v>
      </c>
      <c r="C246">
        <v>173</v>
      </c>
      <c r="D246" t="s">
        <v>1022</v>
      </c>
      <c r="E246" t="s">
        <v>42</v>
      </c>
      <c r="F246">
        <v>311511</v>
      </c>
      <c r="G246" t="s">
        <v>1023</v>
      </c>
      <c r="H246" t="s">
        <v>1024</v>
      </c>
      <c r="I246" t="s">
        <v>1025</v>
      </c>
      <c r="J246" t="s">
        <v>46</v>
      </c>
      <c r="K246">
        <v>95330</v>
      </c>
      <c r="L246">
        <v>37.825000000000003</v>
      </c>
      <c r="M246">
        <v>-121.273</v>
      </c>
      <c r="N246" t="s">
        <v>1026</v>
      </c>
      <c r="O246" t="s">
        <v>388</v>
      </c>
      <c r="P246" t="s">
        <v>194</v>
      </c>
      <c r="Q246" t="s">
        <v>195</v>
      </c>
      <c r="R246" t="s">
        <v>75</v>
      </c>
      <c r="S246" s="1">
        <v>19560</v>
      </c>
      <c r="T246" s="1">
        <v>19560</v>
      </c>
      <c r="U246">
        <v>0</v>
      </c>
      <c r="V246" s="1">
        <v>19538</v>
      </c>
      <c r="W246">
        <v>0.39</v>
      </c>
      <c r="X246">
        <v>0.04</v>
      </c>
      <c r="Y246" s="12">
        <v>0</v>
      </c>
      <c r="Z246" s="12">
        <v>0.5</v>
      </c>
      <c r="AA246" s="12">
        <v>1.6</v>
      </c>
      <c r="AB246" s="12">
        <v>0.4</v>
      </c>
      <c r="AC246" s="12">
        <v>2.2999999999999998</v>
      </c>
      <c r="AD246" s="12">
        <v>2.1</v>
      </c>
      <c r="AE246">
        <v>1.74</v>
      </c>
      <c r="AI246">
        <v>3.69</v>
      </c>
      <c r="AL246">
        <v>3.0000000000000001E-3</v>
      </c>
      <c r="AM246">
        <v>8.1000000000000003E-2</v>
      </c>
      <c r="AN246">
        <v>6.5000000000000002E-2</v>
      </c>
      <c r="AO246">
        <v>0.90700000000000003</v>
      </c>
    </row>
    <row r="247" spans="1:41" x14ac:dyDescent="0.2">
      <c r="A247">
        <v>2023</v>
      </c>
      <c r="B247">
        <v>104354</v>
      </c>
      <c r="C247">
        <v>843</v>
      </c>
      <c r="D247" t="s">
        <v>1027</v>
      </c>
      <c r="E247" t="s">
        <v>42</v>
      </c>
      <c r="F247">
        <v>311513</v>
      </c>
      <c r="G247" t="s">
        <v>390</v>
      </c>
      <c r="H247" t="s">
        <v>1028</v>
      </c>
      <c r="I247" t="s">
        <v>392</v>
      </c>
      <c r="J247" t="s">
        <v>46</v>
      </c>
      <c r="K247">
        <v>93274</v>
      </c>
      <c r="L247">
        <v>36.131999999999998</v>
      </c>
      <c r="M247">
        <v>-119.328</v>
      </c>
      <c r="N247" t="s">
        <v>1029</v>
      </c>
      <c r="O247" t="s">
        <v>392</v>
      </c>
      <c r="P247" t="s">
        <v>194</v>
      </c>
      <c r="Q247" t="s">
        <v>195</v>
      </c>
      <c r="R247" t="s">
        <v>75</v>
      </c>
      <c r="S247" s="1">
        <v>21973</v>
      </c>
      <c r="T247" s="1">
        <v>21973</v>
      </c>
      <c r="U247">
        <v>0</v>
      </c>
      <c r="V247" s="1">
        <v>21950</v>
      </c>
      <c r="W247">
        <v>0.41</v>
      </c>
      <c r="X247">
        <v>0.04</v>
      </c>
      <c r="Y247" s="12">
        <v>0</v>
      </c>
      <c r="Z247" s="12">
        <v>0.8</v>
      </c>
      <c r="AA247" s="12">
        <v>1.6</v>
      </c>
      <c r="AB247" s="12">
        <v>0.6</v>
      </c>
      <c r="AC247" s="12">
        <v>3.1</v>
      </c>
      <c r="AD247" s="12">
        <v>1.1000000000000001</v>
      </c>
      <c r="AE247">
        <v>2.5099999999999998</v>
      </c>
      <c r="AH247">
        <v>1.71</v>
      </c>
      <c r="AI247">
        <v>5.31</v>
      </c>
      <c r="AM247">
        <v>0.113</v>
      </c>
      <c r="AN247">
        <v>0.09</v>
      </c>
      <c r="AO247">
        <v>5.23</v>
      </c>
    </row>
    <row r="248" spans="1:41" x14ac:dyDescent="0.2">
      <c r="A248">
        <v>2023</v>
      </c>
      <c r="B248">
        <v>104355</v>
      </c>
      <c r="C248">
        <v>318</v>
      </c>
      <c r="D248" t="s">
        <v>1030</v>
      </c>
      <c r="E248" t="s">
        <v>42</v>
      </c>
      <c r="F248">
        <v>622110</v>
      </c>
      <c r="G248" t="s">
        <v>868</v>
      </c>
      <c r="H248" t="s">
        <v>1031</v>
      </c>
      <c r="I248" t="s">
        <v>405</v>
      </c>
      <c r="J248" t="s">
        <v>46</v>
      </c>
      <c r="K248">
        <v>93291</v>
      </c>
      <c r="L248">
        <v>36.326999999999998</v>
      </c>
      <c r="M248">
        <v>-119.295</v>
      </c>
      <c r="N248" t="s">
        <v>1032</v>
      </c>
      <c r="O248" t="s">
        <v>392</v>
      </c>
      <c r="P248" t="s">
        <v>194</v>
      </c>
      <c r="Q248" t="s">
        <v>195</v>
      </c>
      <c r="R248" t="s">
        <v>75</v>
      </c>
      <c r="S248" s="1">
        <v>16932</v>
      </c>
      <c r="T248" s="1">
        <v>16932</v>
      </c>
      <c r="U248">
        <v>0</v>
      </c>
      <c r="V248" s="1">
        <v>16915</v>
      </c>
      <c r="W248">
        <v>0.32</v>
      </c>
      <c r="X248">
        <v>0.03</v>
      </c>
      <c r="Y248" s="12">
        <v>0</v>
      </c>
      <c r="Z248" s="12">
        <v>0.2</v>
      </c>
      <c r="AA248" s="12">
        <v>1.4</v>
      </c>
      <c r="AB248" s="12">
        <v>0.2</v>
      </c>
      <c r="AC248" s="12">
        <v>0.3</v>
      </c>
      <c r="AD248" s="12">
        <v>0.3</v>
      </c>
      <c r="AH248">
        <v>92.8</v>
      </c>
      <c r="AM248">
        <v>0</v>
      </c>
      <c r="AN248">
        <v>0.318</v>
      </c>
      <c r="AO248">
        <v>214</v>
      </c>
    </row>
    <row r="249" spans="1:41" x14ac:dyDescent="0.2">
      <c r="A249">
        <v>2023</v>
      </c>
      <c r="B249">
        <v>104356</v>
      </c>
      <c r="C249">
        <v>800088</v>
      </c>
      <c r="D249" t="s">
        <v>1033</v>
      </c>
      <c r="E249" t="s">
        <v>42</v>
      </c>
      <c r="F249">
        <v>212319</v>
      </c>
      <c r="G249" t="s">
        <v>1034</v>
      </c>
      <c r="H249" t="s">
        <v>1035</v>
      </c>
      <c r="I249" t="s">
        <v>473</v>
      </c>
      <c r="J249" t="s">
        <v>46</v>
      </c>
      <c r="K249">
        <v>92881</v>
      </c>
      <c r="L249">
        <v>33.838000000000001</v>
      </c>
      <c r="M249">
        <v>-117.517</v>
      </c>
      <c r="N249" t="s">
        <v>1036</v>
      </c>
      <c r="O249" t="s">
        <v>475</v>
      </c>
      <c r="P249" t="s">
        <v>49</v>
      </c>
      <c r="Q249" t="s">
        <v>50</v>
      </c>
      <c r="R249" t="s">
        <v>75</v>
      </c>
      <c r="S249" s="1">
        <v>15489</v>
      </c>
      <c r="T249" s="1">
        <v>15489</v>
      </c>
      <c r="U249">
        <v>0</v>
      </c>
      <c r="V249" s="1">
        <v>15473</v>
      </c>
      <c r="W249">
        <v>0.28999999999999998</v>
      </c>
      <c r="X249">
        <v>0.03</v>
      </c>
      <c r="Y249" s="12">
        <v>0</v>
      </c>
      <c r="Z249" s="12">
        <v>8.6999999999999993</v>
      </c>
      <c r="AA249" s="12">
        <v>7.4</v>
      </c>
      <c r="AB249" s="12">
        <v>0.1</v>
      </c>
      <c r="AC249" s="12">
        <v>10.4</v>
      </c>
      <c r="AD249" s="12">
        <v>3.5</v>
      </c>
      <c r="AE249">
        <v>6.36</v>
      </c>
      <c r="AF249">
        <v>1.6</v>
      </c>
      <c r="AG249">
        <v>0</v>
      </c>
      <c r="AH249">
        <v>113</v>
      </c>
      <c r="AI249">
        <v>13.6</v>
      </c>
      <c r="AJ249">
        <v>0.63400000000000001</v>
      </c>
      <c r="AL249">
        <v>0.378</v>
      </c>
      <c r="AM249">
        <v>0.78400000000000003</v>
      </c>
      <c r="AN249">
        <v>7.0620000000000003</v>
      </c>
      <c r="AO249">
        <v>299.60700000000003</v>
      </c>
    </row>
    <row r="250" spans="1:41" x14ac:dyDescent="0.2">
      <c r="A250">
        <v>2023</v>
      </c>
      <c r="B250">
        <v>104357</v>
      </c>
      <c r="C250">
        <v>1059</v>
      </c>
      <c r="D250" t="s">
        <v>1037</v>
      </c>
      <c r="E250" t="s">
        <v>42</v>
      </c>
      <c r="F250">
        <v>622110</v>
      </c>
      <c r="G250" t="s">
        <v>868</v>
      </c>
      <c r="H250" t="s">
        <v>1038</v>
      </c>
      <c r="I250" t="s">
        <v>303</v>
      </c>
      <c r="J250" t="s">
        <v>46</v>
      </c>
      <c r="K250">
        <v>92720</v>
      </c>
      <c r="L250">
        <v>36.835000000000001</v>
      </c>
      <c r="M250">
        <v>-119.76600000000001</v>
      </c>
      <c r="N250" t="s">
        <v>1039</v>
      </c>
      <c r="O250" t="s">
        <v>303</v>
      </c>
      <c r="P250" t="s">
        <v>194</v>
      </c>
      <c r="Q250" t="s">
        <v>195</v>
      </c>
      <c r="R250" t="s">
        <v>75</v>
      </c>
      <c r="S250" s="1">
        <v>24217</v>
      </c>
      <c r="T250" s="1">
        <v>24217</v>
      </c>
      <c r="U250">
        <v>0</v>
      </c>
      <c r="V250" s="1">
        <v>24192</v>
      </c>
      <c r="W250">
        <v>0.46</v>
      </c>
      <c r="X250">
        <v>0.05</v>
      </c>
      <c r="Y250" s="12">
        <v>0</v>
      </c>
      <c r="Z250" s="12">
        <v>2.1</v>
      </c>
      <c r="AA250" s="12">
        <v>6.4</v>
      </c>
      <c r="AB250" s="12">
        <v>0.1</v>
      </c>
      <c r="AC250" s="12">
        <v>1.6</v>
      </c>
      <c r="AD250" s="12">
        <v>1.6</v>
      </c>
      <c r="AE250">
        <v>0</v>
      </c>
      <c r="AH250">
        <v>0</v>
      </c>
      <c r="AI250">
        <v>0</v>
      </c>
      <c r="AM250">
        <v>0</v>
      </c>
      <c r="AN250">
        <v>0</v>
      </c>
      <c r="AO250">
        <v>0</v>
      </c>
    </row>
    <row r="251" spans="1:41" x14ac:dyDescent="0.2">
      <c r="A251">
        <v>2023</v>
      </c>
      <c r="B251">
        <v>104358</v>
      </c>
      <c r="C251">
        <v>15504</v>
      </c>
      <c r="D251" t="s">
        <v>1040</v>
      </c>
      <c r="E251" t="s">
        <v>42</v>
      </c>
      <c r="F251">
        <v>332112</v>
      </c>
      <c r="G251" t="s">
        <v>783</v>
      </c>
      <c r="H251" t="s">
        <v>1041</v>
      </c>
      <c r="I251" t="s">
        <v>1042</v>
      </c>
      <c r="J251" t="s">
        <v>46</v>
      </c>
      <c r="K251">
        <v>91730</v>
      </c>
      <c r="L251">
        <v>34.097999999999999</v>
      </c>
      <c r="M251">
        <v>-117.54900000000001</v>
      </c>
      <c r="N251" t="s">
        <v>1043</v>
      </c>
      <c r="O251" t="s">
        <v>57</v>
      </c>
      <c r="P251" t="s">
        <v>49</v>
      </c>
      <c r="Q251" t="s">
        <v>50</v>
      </c>
      <c r="R251" t="s">
        <v>51</v>
      </c>
      <c r="S251" s="1">
        <v>22843</v>
      </c>
      <c r="T251" s="1">
        <v>22843</v>
      </c>
      <c r="U251">
        <v>0</v>
      </c>
      <c r="V251" s="1">
        <v>22819</v>
      </c>
      <c r="W251">
        <v>0.43</v>
      </c>
      <c r="X251">
        <v>0.04</v>
      </c>
      <c r="Y251" s="12">
        <v>22843</v>
      </c>
      <c r="Z251" s="12">
        <v>3.5</v>
      </c>
      <c r="AA251" s="12">
        <v>20.100000000000001</v>
      </c>
      <c r="AB251" s="12">
        <v>0.1</v>
      </c>
      <c r="AC251" s="12">
        <v>3.1</v>
      </c>
      <c r="AD251" s="12">
        <v>3</v>
      </c>
      <c r="AE251">
        <v>3.46</v>
      </c>
      <c r="AF251">
        <v>9.1999999999999998E-2</v>
      </c>
      <c r="AG251">
        <v>0.05</v>
      </c>
      <c r="AH251">
        <v>13.7</v>
      </c>
      <c r="AI251">
        <v>8.52</v>
      </c>
      <c r="AJ251">
        <v>7.5999999999999998E-2</v>
      </c>
      <c r="AL251">
        <v>5.31</v>
      </c>
      <c r="AM251">
        <v>5.024</v>
      </c>
      <c r="AN251">
        <v>7.9109999999999996</v>
      </c>
      <c r="AO251">
        <v>128.96</v>
      </c>
    </row>
    <row r="252" spans="1:41" x14ac:dyDescent="0.2">
      <c r="A252">
        <v>2023</v>
      </c>
      <c r="B252">
        <v>104359</v>
      </c>
      <c r="C252">
        <v>11360</v>
      </c>
      <c r="D252" t="s">
        <v>1044</v>
      </c>
      <c r="E252" t="s">
        <v>42</v>
      </c>
      <c r="F252">
        <v>111419</v>
      </c>
      <c r="G252" t="s">
        <v>1045</v>
      </c>
      <c r="H252" t="s">
        <v>1046</v>
      </c>
      <c r="I252" t="s">
        <v>1047</v>
      </c>
      <c r="J252" t="s">
        <v>46</v>
      </c>
      <c r="K252">
        <v>93458</v>
      </c>
      <c r="L252">
        <v>34.929000000000002</v>
      </c>
      <c r="M252">
        <v>-120.488</v>
      </c>
      <c r="N252" t="s">
        <v>1048</v>
      </c>
      <c r="O252" t="s">
        <v>524</v>
      </c>
      <c r="P252" t="s">
        <v>525</v>
      </c>
      <c r="Q252" t="s">
        <v>155</v>
      </c>
      <c r="R252" t="s">
        <v>51</v>
      </c>
      <c r="S252" s="1">
        <v>28205</v>
      </c>
      <c r="T252" s="1">
        <v>28205</v>
      </c>
      <c r="U252">
        <v>0</v>
      </c>
      <c r="V252" s="1">
        <v>28176</v>
      </c>
      <c r="W252">
        <v>0.53</v>
      </c>
      <c r="X252">
        <v>0.05</v>
      </c>
      <c r="Y252" s="12">
        <v>28205</v>
      </c>
      <c r="Z252" s="12">
        <v>1.5</v>
      </c>
      <c r="AA252" s="12">
        <v>10.199999999999999</v>
      </c>
      <c r="AB252" s="12">
        <v>0.2</v>
      </c>
      <c r="AC252" s="12">
        <v>2.1</v>
      </c>
      <c r="AD252" s="12">
        <v>2.1</v>
      </c>
      <c r="AE252">
        <v>3.07</v>
      </c>
      <c r="AH252">
        <v>14.4</v>
      </c>
      <c r="AI252">
        <v>6.51</v>
      </c>
      <c r="AL252">
        <v>1.1100000000000001</v>
      </c>
      <c r="AM252">
        <v>1.2270000000000001</v>
      </c>
      <c r="AN252">
        <v>2.2629999999999999</v>
      </c>
      <c r="AO252">
        <v>61.360999999999997</v>
      </c>
    </row>
    <row r="253" spans="1:41" x14ac:dyDescent="0.2">
      <c r="A253">
        <v>2023</v>
      </c>
      <c r="B253">
        <v>104360</v>
      </c>
      <c r="C253">
        <v>85</v>
      </c>
      <c r="D253" t="s">
        <v>1049</v>
      </c>
      <c r="E253" t="s">
        <v>42</v>
      </c>
      <c r="F253">
        <v>334112</v>
      </c>
      <c r="G253" t="s">
        <v>1050</v>
      </c>
      <c r="H253" t="s">
        <v>1051</v>
      </c>
      <c r="I253" t="s">
        <v>105</v>
      </c>
      <c r="J253" t="s">
        <v>46</v>
      </c>
      <c r="K253">
        <v>95119</v>
      </c>
      <c r="L253">
        <v>37.247</v>
      </c>
      <c r="M253">
        <v>-121.79</v>
      </c>
      <c r="N253" t="s">
        <v>1052</v>
      </c>
      <c r="O253" t="s">
        <v>107</v>
      </c>
      <c r="P253" t="s">
        <v>108</v>
      </c>
      <c r="Q253" t="s">
        <v>109</v>
      </c>
      <c r="R253" t="s">
        <v>75</v>
      </c>
      <c r="S253" s="1">
        <v>18491</v>
      </c>
      <c r="T253" s="1">
        <v>18491</v>
      </c>
      <c r="U253">
        <v>0</v>
      </c>
      <c r="V253" s="1">
        <v>18472</v>
      </c>
      <c r="W253">
        <v>0.35</v>
      </c>
      <c r="X253">
        <v>0.04</v>
      </c>
      <c r="Y253" s="12">
        <v>0</v>
      </c>
      <c r="Z253" s="12">
        <v>11.4</v>
      </c>
      <c r="AA253" s="12">
        <v>11.5</v>
      </c>
      <c r="AB253" s="12">
        <v>0.1</v>
      </c>
      <c r="AC253" s="12">
        <v>0.5</v>
      </c>
      <c r="AD253" s="12">
        <v>0.5</v>
      </c>
      <c r="AE253">
        <v>2.61</v>
      </c>
      <c r="AG253">
        <v>0</v>
      </c>
      <c r="AH253">
        <v>6.69</v>
      </c>
      <c r="AI253">
        <v>71.7</v>
      </c>
      <c r="AJ253">
        <v>0.13800000000000001</v>
      </c>
      <c r="AL253">
        <v>0.67800000000000005</v>
      </c>
      <c r="AM253">
        <v>1.3160000000000001</v>
      </c>
      <c r="AN253">
        <v>1.5229999999999999</v>
      </c>
      <c r="AO253">
        <v>34</v>
      </c>
    </row>
    <row r="254" spans="1:41" x14ac:dyDescent="0.2">
      <c r="A254">
        <v>2023</v>
      </c>
      <c r="B254">
        <v>104361</v>
      </c>
      <c r="C254">
        <v>800265</v>
      </c>
      <c r="D254" t="s">
        <v>1053</v>
      </c>
      <c r="E254" t="s">
        <v>42</v>
      </c>
      <c r="F254">
        <v>611310</v>
      </c>
      <c r="G254" t="s">
        <v>103</v>
      </c>
      <c r="H254" t="s">
        <v>1054</v>
      </c>
      <c r="I254" t="s">
        <v>48</v>
      </c>
      <c r="J254" t="s">
        <v>46</v>
      </c>
      <c r="K254">
        <v>90089</v>
      </c>
      <c r="L254">
        <v>34.021000000000001</v>
      </c>
      <c r="M254">
        <v>-118.285</v>
      </c>
      <c r="N254" t="s">
        <v>1055</v>
      </c>
      <c r="O254" t="s">
        <v>48</v>
      </c>
      <c r="P254" t="s">
        <v>49</v>
      </c>
      <c r="Q254" t="s">
        <v>50</v>
      </c>
      <c r="R254" t="s">
        <v>75</v>
      </c>
      <c r="S254" s="1">
        <v>18081</v>
      </c>
      <c r="T254" s="1">
        <v>18081</v>
      </c>
      <c r="U254">
        <v>0</v>
      </c>
      <c r="V254" s="1">
        <v>18062</v>
      </c>
      <c r="W254">
        <v>0.34</v>
      </c>
      <c r="X254">
        <v>0.03</v>
      </c>
      <c r="Y254" s="12">
        <v>0</v>
      </c>
      <c r="Z254" s="12">
        <v>4</v>
      </c>
      <c r="AA254" s="12">
        <v>4.0999999999999996</v>
      </c>
      <c r="AB254" s="12">
        <v>0.1</v>
      </c>
      <c r="AC254" s="12">
        <v>1.4</v>
      </c>
      <c r="AD254" s="12">
        <v>1.4</v>
      </c>
      <c r="AE254">
        <v>4.54</v>
      </c>
      <c r="AF254">
        <v>1.23</v>
      </c>
      <c r="AG254">
        <v>0</v>
      </c>
      <c r="AH254">
        <v>18.8</v>
      </c>
      <c r="AI254">
        <v>14.5</v>
      </c>
      <c r="AJ254">
        <v>0.83</v>
      </c>
      <c r="AL254">
        <v>1.7999999999999999E-2</v>
      </c>
      <c r="AM254">
        <v>0.27700000000000002</v>
      </c>
      <c r="AN254">
        <v>0.38</v>
      </c>
      <c r="AO254">
        <v>49.639000000000003</v>
      </c>
    </row>
    <row r="255" spans="1:41" x14ac:dyDescent="0.2">
      <c r="A255">
        <v>2023</v>
      </c>
      <c r="B255">
        <v>104362</v>
      </c>
      <c r="C255">
        <v>24</v>
      </c>
      <c r="D255" t="s">
        <v>1056</v>
      </c>
      <c r="E255" t="s">
        <v>42</v>
      </c>
      <c r="F255">
        <v>611310</v>
      </c>
      <c r="G255" t="s">
        <v>103</v>
      </c>
      <c r="H255" t="s">
        <v>1057</v>
      </c>
      <c r="I255" t="s">
        <v>432</v>
      </c>
      <c r="J255" t="s">
        <v>46</v>
      </c>
      <c r="K255">
        <v>93407</v>
      </c>
      <c r="L255">
        <v>35.301000000000002</v>
      </c>
      <c r="M255">
        <v>-120.658</v>
      </c>
      <c r="N255" t="s">
        <v>1058</v>
      </c>
      <c r="O255" t="s">
        <v>432</v>
      </c>
      <c r="P255" t="s">
        <v>433</v>
      </c>
      <c r="Q255" t="s">
        <v>155</v>
      </c>
      <c r="R255" t="s">
        <v>75</v>
      </c>
      <c r="S255" s="1">
        <v>13311</v>
      </c>
      <c r="T255" s="1">
        <v>13311</v>
      </c>
      <c r="U255">
        <v>0</v>
      </c>
      <c r="V255" s="1">
        <v>13298</v>
      </c>
      <c r="W255">
        <v>0.25</v>
      </c>
      <c r="X255">
        <v>0.03</v>
      </c>
      <c r="Y255" s="12">
        <v>0</v>
      </c>
      <c r="Z255" s="12">
        <v>0.9</v>
      </c>
      <c r="AA255" s="12">
        <v>1.6</v>
      </c>
      <c r="AB255" s="12">
        <v>2.5</v>
      </c>
      <c r="AC255" s="12">
        <v>0.9</v>
      </c>
      <c r="AD255" s="12">
        <v>0.9</v>
      </c>
      <c r="AE255">
        <v>15</v>
      </c>
      <c r="AF255">
        <v>5.51</v>
      </c>
      <c r="AH255">
        <v>25.9</v>
      </c>
      <c r="AI255">
        <v>171</v>
      </c>
      <c r="AJ255">
        <v>0.437</v>
      </c>
      <c r="AL255">
        <v>0.45100000000000001</v>
      </c>
      <c r="AM255">
        <v>2.774</v>
      </c>
      <c r="AN255">
        <v>2.9089999999999998</v>
      </c>
      <c r="AO255">
        <v>104.626</v>
      </c>
    </row>
    <row r="256" spans="1:41" x14ac:dyDescent="0.2">
      <c r="A256">
        <v>2023</v>
      </c>
      <c r="B256">
        <v>104363</v>
      </c>
      <c r="C256">
        <v>10966</v>
      </c>
      <c r="D256" t="s">
        <v>1059</v>
      </c>
      <c r="E256" t="s">
        <v>42</v>
      </c>
      <c r="F256">
        <v>332112</v>
      </c>
      <c r="G256" t="s">
        <v>783</v>
      </c>
      <c r="H256" t="s">
        <v>1060</v>
      </c>
      <c r="I256" t="s">
        <v>356</v>
      </c>
      <c r="J256" t="s">
        <v>46</v>
      </c>
      <c r="K256">
        <v>90723</v>
      </c>
      <c r="L256">
        <v>33.883000000000003</v>
      </c>
      <c r="M256">
        <v>-118.166</v>
      </c>
      <c r="N256" t="s">
        <v>1061</v>
      </c>
      <c r="O256" t="s">
        <v>48</v>
      </c>
      <c r="P256" t="s">
        <v>49</v>
      </c>
      <c r="Q256" t="s">
        <v>50</v>
      </c>
      <c r="R256" t="s">
        <v>75</v>
      </c>
      <c r="S256" s="1">
        <v>16398</v>
      </c>
      <c r="T256" s="1">
        <v>16398</v>
      </c>
      <c r="U256">
        <v>0</v>
      </c>
      <c r="V256" s="1">
        <v>16381</v>
      </c>
      <c r="W256">
        <v>0.31</v>
      </c>
      <c r="X256">
        <v>0.03</v>
      </c>
      <c r="Y256" s="12">
        <v>0</v>
      </c>
      <c r="Z256" s="12">
        <v>2.8</v>
      </c>
      <c r="AA256" s="12">
        <v>11.5</v>
      </c>
      <c r="AB256" s="12">
        <v>0.1</v>
      </c>
      <c r="AC256" s="12">
        <v>4</v>
      </c>
      <c r="AD256" s="12">
        <v>3.2</v>
      </c>
      <c r="AE256">
        <v>2.27</v>
      </c>
      <c r="AI256">
        <v>4.82</v>
      </c>
      <c r="AM256">
        <v>0.159</v>
      </c>
      <c r="AN256">
        <v>0.18099999999999999</v>
      </c>
      <c r="AO256">
        <v>1.0840000000000001</v>
      </c>
    </row>
    <row r="257" spans="1:41" x14ac:dyDescent="0.2">
      <c r="A257">
        <v>2023</v>
      </c>
      <c r="B257">
        <v>104364</v>
      </c>
      <c r="C257">
        <v>8132</v>
      </c>
      <c r="D257" t="s">
        <v>1062</v>
      </c>
      <c r="E257" t="s">
        <v>67</v>
      </c>
      <c r="F257">
        <v>111419</v>
      </c>
      <c r="G257" t="s">
        <v>1045</v>
      </c>
      <c r="H257" t="s">
        <v>1063</v>
      </c>
      <c r="I257" t="s">
        <v>151</v>
      </c>
      <c r="J257" t="s">
        <v>46</v>
      </c>
      <c r="K257">
        <v>93012</v>
      </c>
      <c r="L257">
        <v>34.18</v>
      </c>
      <c r="M257">
        <v>-119.083</v>
      </c>
      <c r="N257" t="s">
        <v>1064</v>
      </c>
      <c r="O257" t="s">
        <v>153</v>
      </c>
      <c r="P257" t="s">
        <v>154</v>
      </c>
      <c r="Q257" t="s">
        <v>155</v>
      </c>
      <c r="R257" t="s">
        <v>75</v>
      </c>
      <c r="S257" s="1">
        <v>33231</v>
      </c>
      <c r="T257" s="1">
        <v>33231</v>
      </c>
      <c r="U257">
        <v>0</v>
      </c>
      <c r="V257" s="1">
        <v>33196</v>
      </c>
      <c r="W257">
        <v>0.63</v>
      </c>
      <c r="X257">
        <v>0.06</v>
      </c>
      <c r="Y257" s="12">
        <v>0</v>
      </c>
      <c r="Z257" s="12">
        <v>0.9</v>
      </c>
      <c r="AA257" s="12">
        <v>7.6</v>
      </c>
      <c r="AB257" s="12">
        <v>0.2</v>
      </c>
      <c r="AC257" s="12">
        <v>2.6</v>
      </c>
      <c r="AD257" s="12">
        <v>2.6</v>
      </c>
      <c r="AE257">
        <v>4.6900000000000004</v>
      </c>
      <c r="AF257">
        <v>2.09</v>
      </c>
      <c r="AH257">
        <v>0.79800000000000004</v>
      </c>
      <c r="AI257">
        <v>417</v>
      </c>
      <c r="AM257">
        <v>4.1559999999999997</v>
      </c>
      <c r="AN257">
        <v>2.86</v>
      </c>
      <c r="AO257">
        <v>29.023</v>
      </c>
    </row>
    <row r="258" spans="1:41" x14ac:dyDescent="0.2">
      <c r="A258">
        <v>2023</v>
      </c>
      <c r="B258">
        <v>104367</v>
      </c>
      <c r="D258" t="s">
        <v>1065</v>
      </c>
      <c r="E258" t="s">
        <v>42</v>
      </c>
      <c r="F258">
        <v>481111</v>
      </c>
      <c r="G258" t="s">
        <v>1066</v>
      </c>
      <c r="H258" t="s">
        <v>1067</v>
      </c>
      <c r="I258" t="s">
        <v>366</v>
      </c>
      <c r="J258" t="s">
        <v>46</v>
      </c>
      <c r="K258">
        <v>94128</v>
      </c>
      <c r="L258">
        <v>37.624000000000002</v>
      </c>
      <c r="M258">
        <v>-122.38200000000001</v>
      </c>
      <c r="N258" t="s">
        <v>367</v>
      </c>
      <c r="O258" t="s">
        <v>182</v>
      </c>
      <c r="P258" t="s">
        <v>108</v>
      </c>
      <c r="Q258" t="s">
        <v>109</v>
      </c>
      <c r="R258" t="s">
        <v>75</v>
      </c>
      <c r="S258" s="1">
        <v>17150</v>
      </c>
      <c r="T258" s="1">
        <v>17150</v>
      </c>
      <c r="U258">
        <v>0</v>
      </c>
      <c r="V258" s="1">
        <v>17132</v>
      </c>
      <c r="W258">
        <v>0.32</v>
      </c>
      <c r="X258">
        <v>0.03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</row>
    <row r="259" spans="1:41" x14ac:dyDescent="0.2">
      <c r="A259">
        <v>2023</v>
      </c>
      <c r="B259">
        <v>104368</v>
      </c>
      <c r="C259">
        <v>11245</v>
      </c>
      <c r="D259" t="s">
        <v>1068</v>
      </c>
      <c r="E259" t="s">
        <v>42</v>
      </c>
      <c r="F259">
        <v>622110</v>
      </c>
      <c r="G259" t="s">
        <v>868</v>
      </c>
      <c r="H259" t="s">
        <v>1069</v>
      </c>
      <c r="I259" t="s">
        <v>1070</v>
      </c>
      <c r="J259" t="s">
        <v>46</v>
      </c>
      <c r="K259">
        <v>92663</v>
      </c>
      <c r="L259">
        <v>33.622999999999998</v>
      </c>
      <c r="M259">
        <v>-117.93</v>
      </c>
      <c r="N259" t="s">
        <v>1071</v>
      </c>
      <c r="O259" t="s">
        <v>167</v>
      </c>
      <c r="P259" t="s">
        <v>49</v>
      </c>
      <c r="Q259" t="s">
        <v>50</v>
      </c>
      <c r="R259" t="s">
        <v>75</v>
      </c>
      <c r="S259" s="1">
        <v>20724</v>
      </c>
      <c r="T259" s="1">
        <v>20724</v>
      </c>
      <c r="U259">
        <v>0</v>
      </c>
      <c r="V259" s="1">
        <v>20703</v>
      </c>
      <c r="W259">
        <v>0.39</v>
      </c>
      <c r="X259">
        <v>0.04</v>
      </c>
      <c r="Y259" s="12">
        <v>0</v>
      </c>
      <c r="Z259" s="12">
        <v>1.2</v>
      </c>
      <c r="AA259" s="12">
        <v>7.1</v>
      </c>
      <c r="AB259" s="12">
        <v>0.1</v>
      </c>
      <c r="AC259" s="12">
        <v>1.7</v>
      </c>
      <c r="AD259" s="12">
        <v>1.4</v>
      </c>
      <c r="AE259">
        <v>17.8</v>
      </c>
      <c r="AF259">
        <v>5.44</v>
      </c>
      <c r="AG259">
        <v>0</v>
      </c>
      <c r="AH259">
        <v>15.7</v>
      </c>
      <c r="AI259">
        <v>219</v>
      </c>
      <c r="AJ259">
        <v>0.78700000000000003</v>
      </c>
      <c r="AL259">
        <v>1.7000000000000001E-2</v>
      </c>
      <c r="AM259">
        <v>1.7050000000000001</v>
      </c>
      <c r="AN259">
        <v>1.3640000000000001</v>
      </c>
      <c r="AO259">
        <v>62.441000000000003</v>
      </c>
    </row>
    <row r="260" spans="1:41" x14ac:dyDescent="0.2">
      <c r="A260">
        <v>2023</v>
      </c>
      <c r="B260">
        <v>104369</v>
      </c>
      <c r="C260">
        <v>18294</v>
      </c>
      <c r="D260" t="s">
        <v>1072</v>
      </c>
      <c r="E260" t="s">
        <v>42</v>
      </c>
      <c r="F260">
        <v>336411</v>
      </c>
      <c r="G260" t="s">
        <v>550</v>
      </c>
      <c r="H260" t="s">
        <v>1073</v>
      </c>
      <c r="I260" t="s">
        <v>114</v>
      </c>
      <c r="J260" t="s">
        <v>46</v>
      </c>
      <c r="K260">
        <v>90245</v>
      </c>
      <c r="L260">
        <v>33.924999999999997</v>
      </c>
      <c r="M260">
        <v>-118.381</v>
      </c>
      <c r="N260" t="s">
        <v>1074</v>
      </c>
      <c r="O260" t="s">
        <v>48</v>
      </c>
      <c r="P260" t="s">
        <v>49</v>
      </c>
      <c r="Q260" t="s">
        <v>50</v>
      </c>
      <c r="R260" t="s">
        <v>75</v>
      </c>
      <c r="S260" s="1">
        <v>8993</v>
      </c>
      <c r="T260" s="1">
        <v>8993</v>
      </c>
      <c r="U260">
        <v>0</v>
      </c>
      <c r="V260" s="1">
        <v>8983</v>
      </c>
      <c r="W260">
        <v>0.17</v>
      </c>
      <c r="X260">
        <v>0.02</v>
      </c>
      <c r="Y260" s="12">
        <v>0</v>
      </c>
      <c r="Z260" s="12">
        <v>16.7</v>
      </c>
      <c r="AA260" s="12">
        <v>7.2</v>
      </c>
      <c r="AB260" s="12">
        <v>0.1</v>
      </c>
      <c r="AC260" s="12">
        <v>0.8</v>
      </c>
      <c r="AD260" s="12">
        <v>0.7</v>
      </c>
      <c r="AE260">
        <v>1.53</v>
      </c>
      <c r="AF260">
        <v>0.28100000000000003</v>
      </c>
      <c r="AG260">
        <v>1.4999999999999999E-2</v>
      </c>
      <c r="AH260">
        <v>42.8</v>
      </c>
      <c r="AI260">
        <v>5.4</v>
      </c>
      <c r="AJ260">
        <v>7.91</v>
      </c>
      <c r="AL260">
        <v>6.69</v>
      </c>
      <c r="AM260">
        <v>44.351999999999997</v>
      </c>
      <c r="AN260">
        <v>560.16800000000001</v>
      </c>
      <c r="AO260">
        <v>120.349</v>
      </c>
    </row>
    <row r="261" spans="1:41" x14ac:dyDescent="0.2">
      <c r="A261">
        <v>2023</v>
      </c>
      <c r="B261">
        <v>104370</v>
      </c>
      <c r="C261">
        <v>126498</v>
      </c>
      <c r="D261" t="s">
        <v>1075</v>
      </c>
      <c r="E261" t="s">
        <v>42</v>
      </c>
      <c r="F261">
        <v>332812</v>
      </c>
      <c r="G261" t="s">
        <v>1076</v>
      </c>
      <c r="H261" t="s">
        <v>1077</v>
      </c>
      <c r="I261" t="s">
        <v>1078</v>
      </c>
      <c r="J261" t="s">
        <v>46</v>
      </c>
      <c r="K261">
        <v>90730</v>
      </c>
      <c r="L261">
        <v>34.1</v>
      </c>
      <c r="M261">
        <v>-117.56</v>
      </c>
      <c r="N261" t="s">
        <v>1043</v>
      </c>
      <c r="O261" t="s">
        <v>57</v>
      </c>
      <c r="P261" t="s">
        <v>49</v>
      </c>
      <c r="Q261" t="s">
        <v>50</v>
      </c>
      <c r="R261" t="s">
        <v>75</v>
      </c>
      <c r="S261" s="1">
        <v>17523</v>
      </c>
      <c r="T261" s="1">
        <v>17523</v>
      </c>
      <c r="U261">
        <v>0</v>
      </c>
      <c r="V261" s="1">
        <v>17505</v>
      </c>
      <c r="W261">
        <v>0.33</v>
      </c>
      <c r="X261">
        <v>0.03</v>
      </c>
      <c r="Y261" s="12">
        <v>0</v>
      </c>
      <c r="Z261" s="12">
        <v>2.9</v>
      </c>
      <c r="AA261" s="12">
        <v>23.9</v>
      </c>
      <c r="AB261" s="12">
        <v>0.1</v>
      </c>
      <c r="AC261" s="12">
        <v>1.2</v>
      </c>
      <c r="AD261" s="12">
        <v>1.2</v>
      </c>
      <c r="AE261">
        <v>26</v>
      </c>
      <c r="AF261">
        <v>4.3999999999999997E-2</v>
      </c>
      <c r="AG261">
        <v>1E-3</v>
      </c>
      <c r="AH261">
        <v>6.84</v>
      </c>
      <c r="AI261">
        <v>10.8</v>
      </c>
      <c r="AJ261">
        <v>3.7999999999999999E-2</v>
      </c>
      <c r="AL261">
        <v>1E-3</v>
      </c>
      <c r="AM261">
        <v>0.57699999999999996</v>
      </c>
      <c r="AN261">
        <v>1.0069999999999999</v>
      </c>
      <c r="AO261">
        <v>60.929000000000002</v>
      </c>
    </row>
    <row r="262" spans="1:41" x14ac:dyDescent="0.2">
      <c r="A262">
        <v>2023</v>
      </c>
      <c r="B262">
        <v>104372</v>
      </c>
      <c r="C262">
        <v>2795</v>
      </c>
      <c r="D262" t="s">
        <v>1079</v>
      </c>
      <c r="E262" t="s">
        <v>42</v>
      </c>
      <c r="F262">
        <v>611310</v>
      </c>
      <c r="G262" t="s">
        <v>103</v>
      </c>
      <c r="H262" t="s">
        <v>1080</v>
      </c>
      <c r="I262" t="s">
        <v>524</v>
      </c>
      <c r="J262" t="s">
        <v>46</v>
      </c>
      <c r="K262">
        <v>93106</v>
      </c>
      <c r="L262">
        <v>34.414000000000001</v>
      </c>
      <c r="M262">
        <v>-119.845</v>
      </c>
      <c r="N262" t="s">
        <v>1081</v>
      </c>
      <c r="O262" t="s">
        <v>524</v>
      </c>
      <c r="P262" t="s">
        <v>525</v>
      </c>
      <c r="Q262" t="s">
        <v>155</v>
      </c>
      <c r="R262" t="s">
        <v>51</v>
      </c>
      <c r="S262" s="1">
        <v>17846</v>
      </c>
      <c r="T262" s="1">
        <v>17846</v>
      </c>
      <c r="U262">
        <v>0</v>
      </c>
      <c r="V262" s="1">
        <v>17827</v>
      </c>
      <c r="W262">
        <v>0.34</v>
      </c>
      <c r="X262">
        <v>0.03</v>
      </c>
      <c r="Y262" s="12">
        <v>17806</v>
      </c>
      <c r="Z262" s="12">
        <v>2.4</v>
      </c>
      <c r="AA262" s="12">
        <v>16.3</v>
      </c>
      <c r="AB262" s="12">
        <v>0.2</v>
      </c>
      <c r="AC262" s="12">
        <v>3</v>
      </c>
      <c r="AD262" s="12">
        <v>3</v>
      </c>
      <c r="AE262">
        <v>5.68</v>
      </c>
      <c r="AH262">
        <v>191</v>
      </c>
      <c r="AI262">
        <v>12.1</v>
      </c>
      <c r="AL262">
        <v>1.49</v>
      </c>
      <c r="AM262">
        <v>1.6719999999999999</v>
      </c>
      <c r="AN262">
        <v>3.6379999999999999</v>
      </c>
      <c r="AO262">
        <v>480.298</v>
      </c>
    </row>
    <row r="263" spans="1:41" x14ac:dyDescent="0.2">
      <c r="A263">
        <v>2023</v>
      </c>
      <c r="B263">
        <v>104374</v>
      </c>
      <c r="C263">
        <v>3671</v>
      </c>
      <c r="D263" t="s">
        <v>1082</v>
      </c>
      <c r="E263" t="s">
        <v>42</v>
      </c>
      <c r="F263">
        <v>622110</v>
      </c>
      <c r="G263" t="s">
        <v>868</v>
      </c>
      <c r="H263" t="s">
        <v>1083</v>
      </c>
      <c r="I263" t="s">
        <v>1084</v>
      </c>
      <c r="J263" t="s">
        <v>46</v>
      </c>
      <c r="K263">
        <v>92270</v>
      </c>
      <c r="L263">
        <v>33.762</v>
      </c>
      <c r="M263">
        <v>-116.40600000000001</v>
      </c>
      <c r="N263" t="s">
        <v>1085</v>
      </c>
      <c r="O263" t="s">
        <v>475</v>
      </c>
      <c r="P263" t="s">
        <v>49</v>
      </c>
      <c r="Q263" t="s">
        <v>50</v>
      </c>
      <c r="R263" t="s">
        <v>75</v>
      </c>
      <c r="S263" s="1">
        <v>19107</v>
      </c>
      <c r="T263" s="1">
        <v>19107</v>
      </c>
      <c r="U263">
        <v>0</v>
      </c>
      <c r="V263" s="1">
        <v>19088</v>
      </c>
      <c r="W263">
        <v>0.36</v>
      </c>
      <c r="X263">
        <v>0.04</v>
      </c>
      <c r="Y263" s="12">
        <v>0</v>
      </c>
      <c r="Z263" s="12">
        <v>4.8</v>
      </c>
      <c r="AA263" s="12">
        <v>5.2</v>
      </c>
      <c r="AB263" s="12">
        <v>0.1</v>
      </c>
      <c r="AC263" s="12">
        <v>1.9</v>
      </c>
      <c r="AD263" s="12">
        <v>1.8</v>
      </c>
      <c r="AE263">
        <v>73.7</v>
      </c>
      <c r="AF263">
        <v>2.54</v>
      </c>
      <c r="AG263">
        <v>1E-3</v>
      </c>
      <c r="AH263">
        <v>323</v>
      </c>
      <c r="AI263">
        <v>111</v>
      </c>
      <c r="AJ263">
        <v>1.79</v>
      </c>
      <c r="AL263">
        <v>3.7999999999999999E-2</v>
      </c>
      <c r="AM263">
        <v>57.606999999999999</v>
      </c>
      <c r="AN263">
        <v>42.865000000000002</v>
      </c>
      <c r="AO263">
        <v>789.98400000000004</v>
      </c>
    </row>
    <row r="264" spans="1:41" x14ac:dyDescent="0.2">
      <c r="A264">
        <v>2023</v>
      </c>
      <c r="B264">
        <v>104376</v>
      </c>
      <c r="C264">
        <v>16338</v>
      </c>
      <c r="D264" t="s">
        <v>1086</v>
      </c>
      <c r="E264" t="s">
        <v>42</v>
      </c>
      <c r="F264">
        <v>331314</v>
      </c>
      <c r="G264" t="s">
        <v>291</v>
      </c>
      <c r="H264" t="s">
        <v>1087</v>
      </c>
      <c r="I264" t="s">
        <v>48</v>
      </c>
      <c r="J264" t="s">
        <v>46</v>
      </c>
      <c r="K264">
        <v>90040</v>
      </c>
      <c r="L264">
        <v>33.988</v>
      </c>
      <c r="M264">
        <v>-118.148</v>
      </c>
      <c r="N264" t="s">
        <v>1088</v>
      </c>
      <c r="O264" t="s">
        <v>48</v>
      </c>
      <c r="P264" t="s">
        <v>49</v>
      </c>
      <c r="Q264" t="s">
        <v>50</v>
      </c>
      <c r="R264" t="s">
        <v>75</v>
      </c>
      <c r="S264" s="1">
        <v>14441</v>
      </c>
      <c r="T264" s="1">
        <v>14441</v>
      </c>
      <c r="U264">
        <v>0</v>
      </c>
      <c r="V264" s="1">
        <v>14426</v>
      </c>
      <c r="W264">
        <v>0.27</v>
      </c>
      <c r="X264">
        <v>0.03</v>
      </c>
      <c r="Y264" s="12">
        <v>0</v>
      </c>
      <c r="Z264" s="12">
        <v>2</v>
      </c>
      <c r="AA264" s="12">
        <v>10.6</v>
      </c>
      <c r="AB264" s="12">
        <v>0.1</v>
      </c>
      <c r="AC264" s="12">
        <v>5.3</v>
      </c>
      <c r="AD264" s="12">
        <v>5</v>
      </c>
      <c r="AE264">
        <v>1.7</v>
      </c>
      <c r="AF264">
        <v>3.2000000000000001E-2</v>
      </c>
      <c r="AG264">
        <v>3.6999999999999998E-2</v>
      </c>
      <c r="AH264">
        <v>0.83699999999999997</v>
      </c>
      <c r="AI264">
        <v>3.81</v>
      </c>
      <c r="AJ264" s="1">
        <v>1115</v>
      </c>
      <c r="AL264">
        <v>0.28999999999999998</v>
      </c>
      <c r="AM264">
        <v>0.44600000000000001</v>
      </c>
      <c r="AN264">
        <v>3.0950000000000002</v>
      </c>
      <c r="AO264">
        <v>66.691000000000003</v>
      </c>
    </row>
    <row r="265" spans="1:41" x14ac:dyDescent="0.2">
      <c r="A265">
        <v>2023</v>
      </c>
      <c r="B265">
        <v>104377</v>
      </c>
      <c r="C265">
        <v>800353</v>
      </c>
      <c r="D265" t="s">
        <v>1089</v>
      </c>
      <c r="E265" t="s">
        <v>42</v>
      </c>
      <c r="F265">
        <v>622110</v>
      </c>
      <c r="G265" t="s">
        <v>868</v>
      </c>
      <c r="H265" t="s">
        <v>1090</v>
      </c>
      <c r="I265" t="s">
        <v>219</v>
      </c>
      <c r="J265" t="s">
        <v>46</v>
      </c>
      <c r="K265">
        <v>91105</v>
      </c>
      <c r="L265">
        <v>34.134</v>
      </c>
      <c r="M265">
        <v>-118.15300000000001</v>
      </c>
      <c r="N265" t="s">
        <v>1091</v>
      </c>
      <c r="O265" t="s">
        <v>48</v>
      </c>
      <c r="P265" t="s">
        <v>49</v>
      </c>
      <c r="Q265" t="s">
        <v>50</v>
      </c>
      <c r="R265" t="s">
        <v>75</v>
      </c>
      <c r="S265" s="1">
        <v>15778</v>
      </c>
      <c r="T265" s="1">
        <v>15778</v>
      </c>
      <c r="U265">
        <v>0</v>
      </c>
      <c r="V265" s="1">
        <v>15762</v>
      </c>
      <c r="W265">
        <v>0.3</v>
      </c>
      <c r="X265">
        <v>0.03</v>
      </c>
      <c r="Y265" s="12">
        <v>0</v>
      </c>
      <c r="Z265" s="12">
        <v>1.2</v>
      </c>
      <c r="AA265" s="12">
        <v>3.9</v>
      </c>
      <c r="AB265" s="12">
        <v>0.1</v>
      </c>
      <c r="AC265" s="12">
        <v>1.2</v>
      </c>
      <c r="AD265" s="12">
        <v>1.2</v>
      </c>
      <c r="AE265">
        <v>2.65</v>
      </c>
      <c r="AF265">
        <v>1.25</v>
      </c>
      <c r="AG265">
        <v>1E-3</v>
      </c>
      <c r="AH265">
        <v>179</v>
      </c>
      <c r="AI265">
        <v>110</v>
      </c>
      <c r="AJ265">
        <v>2.12</v>
      </c>
      <c r="AL265">
        <v>4.4999999999999998E-2</v>
      </c>
      <c r="AM265">
        <v>0.73199999999999998</v>
      </c>
      <c r="AN265">
        <v>1.1990000000000001</v>
      </c>
      <c r="AO265">
        <v>427.15100000000001</v>
      </c>
    </row>
    <row r="266" spans="1:41" x14ac:dyDescent="0.2">
      <c r="A266">
        <v>2023</v>
      </c>
      <c r="B266">
        <v>104378</v>
      </c>
      <c r="C266">
        <v>3093</v>
      </c>
      <c r="D266" t="s">
        <v>1092</v>
      </c>
      <c r="E266" t="s">
        <v>42</v>
      </c>
      <c r="F266">
        <v>622110</v>
      </c>
      <c r="G266" t="s">
        <v>868</v>
      </c>
      <c r="H266" t="s">
        <v>1093</v>
      </c>
      <c r="I266" t="s">
        <v>1094</v>
      </c>
      <c r="J266" t="s">
        <v>46</v>
      </c>
      <c r="K266">
        <v>91342</v>
      </c>
      <c r="L266">
        <v>34.326000000000001</v>
      </c>
      <c r="M266">
        <v>-118.452</v>
      </c>
      <c r="N266" t="s">
        <v>1095</v>
      </c>
      <c r="O266" t="s">
        <v>48</v>
      </c>
      <c r="P266" t="s">
        <v>49</v>
      </c>
      <c r="Q266" t="s">
        <v>50</v>
      </c>
      <c r="R266" t="s">
        <v>75</v>
      </c>
      <c r="S266" s="1">
        <v>15423</v>
      </c>
      <c r="T266" s="1">
        <v>15423</v>
      </c>
      <c r="U266">
        <v>0</v>
      </c>
      <c r="V266" s="1">
        <v>15407</v>
      </c>
      <c r="W266">
        <v>0.28999999999999998</v>
      </c>
      <c r="X266">
        <v>0.03</v>
      </c>
      <c r="Y266" s="12">
        <v>0</v>
      </c>
      <c r="Z266" s="12">
        <v>2.8</v>
      </c>
      <c r="AA266" s="12">
        <v>26.5</v>
      </c>
      <c r="AB266" s="12">
        <v>0.4</v>
      </c>
      <c r="AC266" s="12">
        <v>3.8</v>
      </c>
      <c r="AD266" s="12">
        <v>3.1</v>
      </c>
      <c r="AE266">
        <v>14.5</v>
      </c>
      <c r="AF266">
        <v>13.3</v>
      </c>
      <c r="AG266">
        <v>6.0000000000000001E-3</v>
      </c>
      <c r="AH266" s="1">
        <v>2027</v>
      </c>
      <c r="AI266">
        <v>287</v>
      </c>
      <c r="AJ266">
        <v>11.3</v>
      </c>
      <c r="AL266">
        <v>0.23599999999999999</v>
      </c>
      <c r="AM266">
        <v>1.6439999999999999</v>
      </c>
      <c r="AN266">
        <v>8.5749999999999993</v>
      </c>
      <c r="AO266" s="2">
        <v>4751.317</v>
      </c>
    </row>
    <row r="267" spans="1:41" x14ac:dyDescent="0.2">
      <c r="A267">
        <v>2023</v>
      </c>
      <c r="B267">
        <v>104379</v>
      </c>
      <c r="C267">
        <v>2041</v>
      </c>
      <c r="D267" t="s">
        <v>1096</v>
      </c>
      <c r="E267" t="s">
        <v>42</v>
      </c>
      <c r="F267">
        <v>311211</v>
      </c>
      <c r="G267" t="s">
        <v>1097</v>
      </c>
      <c r="H267" t="s">
        <v>1098</v>
      </c>
      <c r="I267" t="s">
        <v>279</v>
      </c>
      <c r="J267" t="s">
        <v>46</v>
      </c>
      <c r="K267">
        <v>93638</v>
      </c>
      <c r="L267">
        <v>37.011000000000003</v>
      </c>
      <c r="M267">
        <v>-120.11199999999999</v>
      </c>
      <c r="N267" t="s">
        <v>1099</v>
      </c>
      <c r="O267" t="s">
        <v>279</v>
      </c>
      <c r="P267" t="s">
        <v>194</v>
      </c>
      <c r="Q267" t="s">
        <v>195</v>
      </c>
      <c r="R267" t="s">
        <v>75</v>
      </c>
      <c r="S267" s="1">
        <v>13029</v>
      </c>
      <c r="T267" s="1">
        <v>13029</v>
      </c>
      <c r="U267">
        <v>0</v>
      </c>
      <c r="V267" s="1">
        <v>13015</v>
      </c>
      <c r="W267">
        <v>0.25</v>
      </c>
      <c r="X267">
        <v>0.03</v>
      </c>
      <c r="Y267" s="12">
        <v>0</v>
      </c>
      <c r="Z267" s="12">
        <v>0.5</v>
      </c>
      <c r="AA267" s="12">
        <v>4.5</v>
      </c>
      <c r="AB267" s="12">
        <v>0.4</v>
      </c>
      <c r="AC267" s="12">
        <v>14.8</v>
      </c>
      <c r="AD267" s="12">
        <v>0.6</v>
      </c>
      <c r="AE267">
        <v>1.96</v>
      </c>
      <c r="AF267">
        <v>9.1999999999999998E-2</v>
      </c>
      <c r="AI267">
        <v>3.68</v>
      </c>
      <c r="AJ267">
        <v>2.87</v>
      </c>
      <c r="AL267">
        <v>0</v>
      </c>
      <c r="AM267">
        <v>7.1999999999999995E-2</v>
      </c>
      <c r="AN267">
        <v>0.76200000000000001</v>
      </c>
      <c r="AO267">
        <v>1.0189999999999999</v>
      </c>
    </row>
    <row r="268" spans="1:41" x14ac:dyDescent="0.2">
      <c r="A268">
        <v>2023</v>
      </c>
      <c r="B268">
        <v>104380</v>
      </c>
      <c r="C268">
        <v>3974</v>
      </c>
      <c r="D268" t="s">
        <v>1100</v>
      </c>
      <c r="E268" t="s">
        <v>42</v>
      </c>
      <c r="F268">
        <v>622110</v>
      </c>
      <c r="G268" t="s">
        <v>868</v>
      </c>
      <c r="H268" t="s">
        <v>1101</v>
      </c>
      <c r="I268" t="s">
        <v>366</v>
      </c>
      <c r="J268" t="s">
        <v>46</v>
      </c>
      <c r="K268">
        <v>94110</v>
      </c>
      <c r="L268">
        <v>37.756</v>
      </c>
      <c r="M268">
        <v>-122.405</v>
      </c>
      <c r="N268" t="s">
        <v>1102</v>
      </c>
      <c r="O268" t="s">
        <v>366</v>
      </c>
      <c r="P268" t="s">
        <v>108</v>
      </c>
      <c r="Q268" t="s">
        <v>109</v>
      </c>
      <c r="R268" t="s">
        <v>75</v>
      </c>
      <c r="S268" s="1">
        <v>10809</v>
      </c>
      <c r="T268" s="1">
        <v>10809</v>
      </c>
      <c r="U268">
        <v>0</v>
      </c>
      <c r="V268" s="1">
        <v>10798</v>
      </c>
      <c r="W268">
        <v>0.2</v>
      </c>
      <c r="X268">
        <v>0.02</v>
      </c>
      <c r="Y268" s="12">
        <v>0</v>
      </c>
      <c r="Z268" s="12">
        <v>1</v>
      </c>
      <c r="AA268" s="12">
        <v>13.7</v>
      </c>
      <c r="AB268" s="12">
        <v>0.1</v>
      </c>
      <c r="AC268" s="12">
        <v>0.7</v>
      </c>
      <c r="AD268" s="12">
        <v>0.7</v>
      </c>
      <c r="AE268">
        <v>2.2200000000000002</v>
      </c>
      <c r="AG268">
        <v>0</v>
      </c>
      <c r="AH268">
        <v>56.3</v>
      </c>
      <c r="AI268">
        <v>61.5</v>
      </c>
      <c r="AL268">
        <v>0.58399999999999996</v>
      </c>
      <c r="AM268">
        <v>0.82899999999999996</v>
      </c>
      <c r="AN268">
        <v>1.466</v>
      </c>
      <c r="AO268">
        <v>145.98500000000001</v>
      </c>
    </row>
    <row r="269" spans="1:41" x14ac:dyDescent="0.2">
      <c r="A269">
        <v>2023</v>
      </c>
      <c r="B269">
        <v>104383</v>
      </c>
      <c r="C269">
        <v>45746</v>
      </c>
      <c r="D269" t="s">
        <v>1103</v>
      </c>
      <c r="E269" t="s">
        <v>42</v>
      </c>
      <c r="F269">
        <v>322121</v>
      </c>
      <c r="G269" t="s">
        <v>687</v>
      </c>
      <c r="H269" t="s">
        <v>1104</v>
      </c>
      <c r="I269" t="s">
        <v>608</v>
      </c>
      <c r="J269" t="s">
        <v>46</v>
      </c>
      <c r="K269">
        <v>90058</v>
      </c>
      <c r="L269">
        <v>34.003999999999998</v>
      </c>
      <c r="M269">
        <v>-118.229</v>
      </c>
      <c r="N269" t="s">
        <v>609</v>
      </c>
      <c r="O269" t="s">
        <v>48</v>
      </c>
      <c r="P269" t="s">
        <v>49</v>
      </c>
      <c r="Q269" t="s">
        <v>50</v>
      </c>
      <c r="R269" t="s">
        <v>75</v>
      </c>
      <c r="S269" s="1">
        <v>16229</v>
      </c>
      <c r="T269" s="1">
        <v>16229</v>
      </c>
      <c r="U269">
        <v>0</v>
      </c>
      <c r="V269" s="1">
        <v>16218</v>
      </c>
      <c r="W269">
        <v>0.26</v>
      </c>
      <c r="X269">
        <v>0.02</v>
      </c>
      <c r="Y269" s="12">
        <v>0</v>
      </c>
      <c r="Z269" s="12">
        <v>12.6</v>
      </c>
      <c r="AA269" s="12">
        <v>1.3</v>
      </c>
      <c r="AB269" s="12">
        <v>0.1</v>
      </c>
      <c r="AC269" s="12">
        <v>3.8</v>
      </c>
      <c r="AD269" s="12">
        <v>3</v>
      </c>
      <c r="AE269">
        <v>1.73</v>
      </c>
      <c r="AG269">
        <v>0</v>
      </c>
      <c r="AI269">
        <v>289</v>
      </c>
      <c r="AL269">
        <v>0</v>
      </c>
      <c r="AM269">
        <v>1.018</v>
      </c>
      <c r="AN269">
        <v>0.68200000000000005</v>
      </c>
      <c r="AO269">
        <v>47.42</v>
      </c>
    </row>
    <row r="270" spans="1:41" x14ac:dyDescent="0.2">
      <c r="A270">
        <v>2023</v>
      </c>
      <c r="B270">
        <v>104384</v>
      </c>
      <c r="C270">
        <v>100808</v>
      </c>
      <c r="D270" t="s">
        <v>1105</v>
      </c>
      <c r="E270" t="s">
        <v>42</v>
      </c>
      <c r="F270">
        <v>311824</v>
      </c>
      <c r="G270" t="s">
        <v>1106</v>
      </c>
      <c r="H270" t="s">
        <v>1107</v>
      </c>
      <c r="I270" t="s">
        <v>243</v>
      </c>
      <c r="J270" t="s">
        <v>46</v>
      </c>
      <c r="K270">
        <v>92618</v>
      </c>
      <c r="L270">
        <v>33.661999999999999</v>
      </c>
      <c r="M270">
        <v>-117.76300000000001</v>
      </c>
      <c r="N270" t="s">
        <v>1108</v>
      </c>
      <c r="O270" t="s">
        <v>167</v>
      </c>
      <c r="P270" t="s">
        <v>49</v>
      </c>
      <c r="Q270" t="s">
        <v>50</v>
      </c>
      <c r="R270" t="s">
        <v>75</v>
      </c>
      <c r="S270" s="1">
        <v>23280</v>
      </c>
      <c r="T270" s="1">
        <v>23280</v>
      </c>
      <c r="U270">
        <v>0</v>
      </c>
      <c r="V270" s="1">
        <v>23256</v>
      </c>
      <c r="W270">
        <v>0.44</v>
      </c>
      <c r="X270">
        <v>0.04</v>
      </c>
      <c r="Y270" s="12">
        <v>0</v>
      </c>
      <c r="Z270" s="12">
        <v>7.2</v>
      </c>
      <c r="AA270" s="12">
        <v>2</v>
      </c>
      <c r="AB270" s="12">
        <v>0.1</v>
      </c>
      <c r="AC270" s="12">
        <v>3.8</v>
      </c>
      <c r="AD270" s="12">
        <v>3.8</v>
      </c>
      <c r="AE270">
        <v>2.76</v>
      </c>
      <c r="AG270">
        <v>0</v>
      </c>
      <c r="AI270">
        <v>5.87</v>
      </c>
      <c r="AL270">
        <v>2.1999999999999999E-2</v>
      </c>
      <c r="AM270">
        <v>0.72099999999999997</v>
      </c>
      <c r="AN270">
        <v>0.223</v>
      </c>
      <c r="AO270">
        <v>19.952000000000002</v>
      </c>
    </row>
    <row r="271" spans="1:41" x14ac:dyDescent="0.2">
      <c r="A271">
        <v>2023</v>
      </c>
      <c r="B271">
        <v>104391</v>
      </c>
      <c r="C271">
        <v>6763</v>
      </c>
      <c r="D271" t="s">
        <v>1109</v>
      </c>
      <c r="E271" t="s">
        <v>42</v>
      </c>
      <c r="F271">
        <v>622310</v>
      </c>
      <c r="G271" t="s">
        <v>1110</v>
      </c>
      <c r="H271" t="s">
        <v>1111</v>
      </c>
      <c r="I271" t="s">
        <v>126</v>
      </c>
      <c r="J271" t="s">
        <v>46</v>
      </c>
      <c r="K271">
        <v>92123</v>
      </c>
      <c r="L271">
        <v>32.798000000000002</v>
      </c>
      <c r="M271">
        <v>-117.151</v>
      </c>
      <c r="N271" t="s">
        <v>1112</v>
      </c>
      <c r="O271" t="s">
        <v>126</v>
      </c>
      <c r="P271" t="s">
        <v>127</v>
      </c>
      <c r="Q271" t="s">
        <v>126</v>
      </c>
      <c r="R271" t="s">
        <v>75</v>
      </c>
      <c r="S271" s="1">
        <v>22293</v>
      </c>
      <c r="T271" s="1">
        <v>22293</v>
      </c>
      <c r="U271">
        <v>0</v>
      </c>
      <c r="V271" s="1">
        <v>22270</v>
      </c>
      <c r="W271">
        <v>0.42</v>
      </c>
      <c r="X271">
        <v>0.04</v>
      </c>
      <c r="Y271" s="12">
        <v>0</v>
      </c>
      <c r="Z271" s="12">
        <v>0.2</v>
      </c>
      <c r="AA271" s="12">
        <v>1.2</v>
      </c>
      <c r="AB271" s="12">
        <v>0.1</v>
      </c>
      <c r="AC271" s="12">
        <v>3.7</v>
      </c>
      <c r="AD271" s="12">
        <v>3.7</v>
      </c>
      <c r="AF271">
        <v>0.39400000000000002</v>
      </c>
      <c r="AG271">
        <v>0</v>
      </c>
      <c r="AH271">
        <v>5.86</v>
      </c>
      <c r="AJ271">
        <v>0.20200000000000001</v>
      </c>
      <c r="AL271">
        <v>4.0000000000000001E-3</v>
      </c>
      <c r="AM271">
        <v>0.129</v>
      </c>
      <c r="AN271">
        <v>0.23100000000000001</v>
      </c>
      <c r="AO271">
        <v>21.957999999999998</v>
      </c>
    </row>
    <row r="272" spans="1:41" x14ac:dyDescent="0.2">
      <c r="A272">
        <v>2023</v>
      </c>
      <c r="B272">
        <v>104392</v>
      </c>
      <c r="C272">
        <v>77</v>
      </c>
      <c r="D272" t="s">
        <v>1113</v>
      </c>
      <c r="E272" t="s">
        <v>250</v>
      </c>
      <c r="F272">
        <v>486210</v>
      </c>
      <c r="G272" t="s">
        <v>270</v>
      </c>
      <c r="H272" t="s">
        <v>1114</v>
      </c>
      <c r="I272" t="s">
        <v>1115</v>
      </c>
      <c r="J272" t="s">
        <v>46</v>
      </c>
      <c r="K272">
        <v>95948</v>
      </c>
      <c r="L272">
        <v>39.347999999999999</v>
      </c>
      <c r="M272">
        <v>-121.79900000000001</v>
      </c>
      <c r="N272" t="s">
        <v>1116</v>
      </c>
      <c r="O272" t="s">
        <v>1117</v>
      </c>
      <c r="P272" t="s">
        <v>1118</v>
      </c>
      <c r="Q272" t="s">
        <v>74</v>
      </c>
      <c r="R272" t="s">
        <v>51</v>
      </c>
      <c r="S272" s="1">
        <v>44444</v>
      </c>
      <c r="T272" s="1">
        <v>44444</v>
      </c>
      <c r="U272">
        <v>0</v>
      </c>
      <c r="V272" s="1">
        <v>41427</v>
      </c>
      <c r="W272">
        <v>119.76</v>
      </c>
      <c r="X272">
        <v>0.08</v>
      </c>
      <c r="Y272" s="12">
        <v>43484</v>
      </c>
      <c r="Z272" s="12">
        <v>4.2</v>
      </c>
      <c r="AA272" s="12">
        <v>16.8</v>
      </c>
      <c r="AB272" s="12">
        <v>0.2</v>
      </c>
      <c r="AC272" s="12">
        <v>0.1</v>
      </c>
      <c r="AD272" s="12">
        <v>0</v>
      </c>
      <c r="AE272">
        <v>223</v>
      </c>
      <c r="AF272">
        <v>299</v>
      </c>
      <c r="AI272" s="1">
        <v>15061</v>
      </c>
      <c r="AM272">
        <v>57.722000000000001</v>
      </c>
      <c r="AN272">
        <v>39.624000000000002</v>
      </c>
      <c r="AO272" s="2">
        <v>1183.06</v>
      </c>
    </row>
    <row r="273" spans="1:41" x14ac:dyDescent="0.2">
      <c r="A273">
        <v>2023</v>
      </c>
      <c r="B273">
        <v>104393</v>
      </c>
      <c r="C273">
        <v>18885</v>
      </c>
      <c r="D273" t="s">
        <v>1119</v>
      </c>
      <c r="E273" t="s">
        <v>42</v>
      </c>
      <c r="F273">
        <v>622110</v>
      </c>
      <c r="G273" t="s">
        <v>868</v>
      </c>
      <c r="H273" t="s">
        <v>1120</v>
      </c>
      <c r="I273" t="s">
        <v>48</v>
      </c>
      <c r="J273" t="s">
        <v>46</v>
      </c>
      <c r="K273">
        <v>90027</v>
      </c>
      <c r="L273">
        <v>34.097999999999999</v>
      </c>
      <c r="M273">
        <v>-118.29</v>
      </c>
      <c r="N273" t="s">
        <v>1121</v>
      </c>
      <c r="O273" t="s">
        <v>48</v>
      </c>
      <c r="P273" t="s">
        <v>49</v>
      </c>
      <c r="Q273" t="s">
        <v>50</v>
      </c>
      <c r="R273" t="s">
        <v>75</v>
      </c>
      <c r="S273" s="1">
        <v>12606</v>
      </c>
      <c r="T273" s="1">
        <v>12606</v>
      </c>
      <c r="U273">
        <v>0</v>
      </c>
      <c r="V273" s="1">
        <v>12593</v>
      </c>
      <c r="W273">
        <v>0.24</v>
      </c>
      <c r="X273">
        <v>0.02</v>
      </c>
      <c r="Y273" s="12">
        <v>0</v>
      </c>
      <c r="Z273" s="12">
        <v>0.7</v>
      </c>
      <c r="AA273" s="12">
        <v>2.4</v>
      </c>
      <c r="AB273" s="12">
        <v>0.1</v>
      </c>
      <c r="AC273" s="12">
        <v>2.9</v>
      </c>
      <c r="AD273" s="12">
        <v>2.1</v>
      </c>
      <c r="AE273">
        <v>2.4500000000000002</v>
      </c>
      <c r="AF273">
        <v>1.3</v>
      </c>
      <c r="AG273">
        <v>1E-3</v>
      </c>
      <c r="AH273">
        <v>201</v>
      </c>
      <c r="AI273">
        <v>13.2</v>
      </c>
      <c r="AJ273">
        <v>1.1200000000000001</v>
      </c>
      <c r="AL273">
        <v>2.3E-2</v>
      </c>
      <c r="AM273">
        <v>0.25900000000000001</v>
      </c>
      <c r="AN273">
        <v>1.0189999999999999</v>
      </c>
      <c r="AO273">
        <v>470.36700000000002</v>
      </c>
    </row>
    <row r="274" spans="1:41" x14ac:dyDescent="0.2">
      <c r="A274">
        <v>2023</v>
      </c>
      <c r="B274">
        <v>104394</v>
      </c>
      <c r="C274">
        <v>136</v>
      </c>
      <c r="D274" t="s">
        <v>1122</v>
      </c>
      <c r="E274" t="s">
        <v>42</v>
      </c>
      <c r="F274">
        <v>332112</v>
      </c>
      <c r="G274" t="s">
        <v>783</v>
      </c>
      <c r="H274" t="s">
        <v>1123</v>
      </c>
      <c r="I274" t="s">
        <v>356</v>
      </c>
      <c r="J274" t="s">
        <v>46</v>
      </c>
      <c r="K274">
        <v>90723</v>
      </c>
      <c r="L274">
        <v>33.884999999999998</v>
      </c>
      <c r="M274">
        <v>-118.16500000000001</v>
      </c>
      <c r="N274" t="s">
        <v>1061</v>
      </c>
      <c r="O274" t="s">
        <v>48</v>
      </c>
      <c r="P274" t="s">
        <v>49</v>
      </c>
      <c r="Q274" t="s">
        <v>50</v>
      </c>
      <c r="R274" t="s">
        <v>75</v>
      </c>
      <c r="S274" s="1">
        <v>21948</v>
      </c>
      <c r="T274" s="1">
        <v>21948</v>
      </c>
      <c r="U274">
        <v>0</v>
      </c>
      <c r="V274" s="1">
        <v>21926</v>
      </c>
      <c r="W274">
        <v>0.41</v>
      </c>
      <c r="X274">
        <v>0.04</v>
      </c>
      <c r="Y274" s="12">
        <v>0</v>
      </c>
      <c r="Z274" s="12">
        <v>2.8</v>
      </c>
      <c r="AA274" s="12">
        <v>16.600000000000001</v>
      </c>
      <c r="AB274" s="12">
        <v>0.1</v>
      </c>
      <c r="AC274" s="12">
        <v>2.8</v>
      </c>
      <c r="AD274" s="12">
        <v>2.8</v>
      </c>
      <c r="AE274">
        <v>2.74</v>
      </c>
      <c r="AF274">
        <v>5.3999999999999999E-2</v>
      </c>
      <c r="AG274">
        <v>0.374</v>
      </c>
      <c r="AH274">
        <v>8.3800000000000008</v>
      </c>
      <c r="AI274">
        <v>6.14</v>
      </c>
      <c r="AJ274">
        <v>4.7E-2</v>
      </c>
      <c r="AL274">
        <v>1.38</v>
      </c>
      <c r="AM274">
        <v>1.9950000000000001</v>
      </c>
      <c r="AN274">
        <v>6.3220000000000001</v>
      </c>
      <c r="AO274">
        <v>510.34500000000003</v>
      </c>
    </row>
    <row r="275" spans="1:41" x14ac:dyDescent="0.2">
      <c r="A275">
        <v>2023</v>
      </c>
      <c r="B275">
        <v>104396</v>
      </c>
      <c r="C275">
        <v>817</v>
      </c>
      <c r="D275" t="s">
        <v>1124</v>
      </c>
      <c r="E275" t="s">
        <v>42</v>
      </c>
      <c r="F275">
        <v>311513</v>
      </c>
      <c r="G275" t="s">
        <v>390</v>
      </c>
      <c r="H275" t="s">
        <v>1125</v>
      </c>
      <c r="I275" t="s">
        <v>392</v>
      </c>
      <c r="J275" t="s">
        <v>46</v>
      </c>
      <c r="K275">
        <v>93274</v>
      </c>
      <c r="L275">
        <v>36.189</v>
      </c>
      <c r="M275">
        <v>-119.345</v>
      </c>
      <c r="N275" t="s">
        <v>1126</v>
      </c>
      <c r="O275" t="s">
        <v>392</v>
      </c>
      <c r="P275" t="s">
        <v>194</v>
      </c>
      <c r="Q275" t="s">
        <v>195</v>
      </c>
      <c r="R275" t="s">
        <v>75</v>
      </c>
      <c r="S275" s="1">
        <v>13243</v>
      </c>
      <c r="T275" s="1">
        <v>13243</v>
      </c>
      <c r="U275">
        <v>0</v>
      </c>
      <c r="V275" s="1">
        <v>13230</v>
      </c>
      <c r="W275">
        <v>0.25</v>
      </c>
      <c r="X275">
        <v>0.03</v>
      </c>
      <c r="Y275" s="12">
        <v>0</v>
      </c>
      <c r="Z275" s="12">
        <v>0.3</v>
      </c>
      <c r="AA275" s="12">
        <v>0.3</v>
      </c>
      <c r="AB275" s="12">
        <v>0.2</v>
      </c>
      <c r="AC275" s="12">
        <v>0.7</v>
      </c>
      <c r="AD275" s="12">
        <v>0.7</v>
      </c>
      <c r="AE275">
        <v>1.01</v>
      </c>
      <c r="AI275">
        <v>2.14</v>
      </c>
      <c r="AM275">
        <v>7.1999999999999995E-2</v>
      </c>
      <c r="AN275">
        <v>7.5999999999999998E-2</v>
      </c>
      <c r="AO275">
        <v>0.52100000000000002</v>
      </c>
    </row>
    <row r="276" spans="1:41" x14ac:dyDescent="0.2">
      <c r="A276">
        <v>2023</v>
      </c>
      <c r="B276">
        <v>104397</v>
      </c>
      <c r="C276">
        <v>94872</v>
      </c>
      <c r="D276" t="s">
        <v>1127</v>
      </c>
      <c r="E276" t="s">
        <v>42</v>
      </c>
      <c r="F276">
        <v>332431</v>
      </c>
      <c r="G276" t="s">
        <v>1128</v>
      </c>
      <c r="H276" t="s">
        <v>1129</v>
      </c>
      <c r="I276" t="s">
        <v>1130</v>
      </c>
      <c r="J276" t="s">
        <v>46</v>
      </c>
      <c r="K276">
        <v>91752</v>
      </c>
      <c r="L276">
        <v>34.030999999999999</v>
      </c>
      <c r="M276">
        <v>-117.52200000000001</v>
      </c>
      <c r="N276" t="s">
        <v>1131</v>
      </c>
      <c r="O276" t="s">
        <v>475</v>
      </c>
      <c r="P276" t="s">
        <v>49</v>
      </c>
      <c r="Q276" t="s">
        <v>50</v>
      </c>
      <c r="R276" t="s">
        <v>75</v>
      </c>
      <c r="S276" s="1">
        <v>9245</v>
      </c>
      <c r="T276" s="1">
        <v>9245</v>
      </c>
      <c r="U276">
        <v>0</v>
      </c>
      <c r="V276" s="1">
        <v>9236</v>
      </c>
      <c r="W276">
        <v>0.17</v>
      </c>
      <c r="X276">
        <v>0.02</v>
      </c>
      <c r="Y276" s="12">
        <v>0</v>
      </c>
      <c r="Z276" s="12">
        <v>94.7</v>
      </c>
      <c r="AA276" s="12">
        <v>16.899999999999999</v>
      </c>
      <c r="AB276" s="12">
        <v>0.1</v>
      </c>
      <c r="AC276" s="12">
        <v>20.100000000000001</v>
      </c>
      <c r="AD276" s="12">
        <v>17.600000000000001</v>
      </c>
      <c r="AE276">
        <v>1.55</v>
      </c>
      <c r="AF276">
        <v>0.123</v>
      </c>
      <c r="AG276">
        <v>0</v>
      </c>
      <c r="AH276">
        <v>18.899999999999999</v>
      </c>
      <c r="AI276" s="1">
        <v>2776</v>
      </c>
      <c r="AJ276">
        <v>0.105</v>
      </c>
      <c r="AL276">
        <v>2E-3</v>
      </c>
      <c r="AM276">
        <v>11.993</v>
      </c>
      <c r="AN276">
        <v>14.776</v>
      </c>
      <c r="AO276">
        <v>172.75899999999999</v>
      </c>
    </row>
    <row r="277" spans="1:41" x14ac:dyDescent="0.2">
      <c r="A277">
        <v>2023</v>
      </c>
      <c r="B277">
        <v>104398</v>
      </c>
      <c r="C277">
        <v>1245</v>
      </c>
      <c r="D277" t="s">
        <v>1132</v>
      </c>
      <c r="E277" t="s">
        <v>42</v>
      </c>
      <c r="F277">
        <v>311421</v>
      </c>
      <c r="G277" t="s">
        <v>281</v>
      </c>
      <c r="H277" t="s">
        <v>1133</v>
      </c>
      <c r="I277" t="s">
        <v>1134</v>
      </c>
      <c r="J277" t="s">
        <v>46</v>
      </c>
      <c r="K277">
        <v>95023</v>
      </c>
      <c r="L277">
        <v>36.847000000000001</v>
      </c>
      <c r="M277">
        <v>-121.401</v>
      </c>
      <c r="N277" t="s">
        <v>1135</v>
      </c>
      <c r="O277" t="s">
        <v>1136</v>
      </c>
      <c r="P277" t="s">
        <v>187</v>
      </c>
      <c r="Q277" t="s">
        <v>188</v>
      </c>
      <c r="R277" t="s">
        <v>75</v>
      </c>
      <c r="S277" s="1">
        <v>15433</v>
      </c>
      <c r="T277" s="1">
        <v>15433</v>
      </c>
      <c r="U277">
        <v>0</v>
      </c>
      <c r="V277" s="1">
        <v>15417</v>
      </c>
      <c r="W277">
        <v>0.28999999999999998</v>
      </c>
      <c r="X277">
        <v>0.03</v>
      </c>
      <c r="Y277" s="12">
        <v>0</v>
      </c>
      <c r="Z277" s="12">
        <v>0.7</v>
      </c>
      <c r="AA277" s="12">
        <v>4.4000000000000004</v>
      </c>
      <c r="AB277" s="12">
        <v>0.1</v>
      </c>
      <c r="AC277" s="12">
        <v>1.1000000000000001</v>
      </c>
      <c r="AD277" s="12">
        <v>1</v>
      </c>
    </row>
    <row r="278" spans="1:41" x14ac:dyDescent="0.2">
      <c r="A278">
        <v>2023</v>
      </c>
      <c r="B278">
        <v>104405</v>
      </c>
      <c r="C278">
        <v>550</v>
      </c>
      <c r="D278" t="s">
        <v>1137</v>
      </c>
      <c r="E278" t="s">
        <v>42</v>
      </c>
      <c r="F278">
        <v>927110</v>
      </c>
      <c r="G278" t="s">
        <v>1138</v>
      </c>
      <c r="H278" t="s">
        <v>1139</v>
      </c>
      <c r="I278" t="s">
        <v>1140</v>
      </c>
      <c r="J278" t="s">
        <v>46</v>
      </c>
      <c r="K278">
        <v>94035</v>
      </c>
      <c r="L278">
        <v>37.417999999999999</v>
      </c>
      <c r="M278">
        <v>-122.053</v>
      </c>
      <c r="N278" t="s">
        <v>1141</v>
      </c>
      <c r="O278" t="s">
        <v>107</v>
      </c>
      <c r="P278" t="s">
        <v>108</v>
      </c>
      <c r="Q278" t="s">
        <v>109</v>
      </c>
      <c r="R278" t="s">
        <v>75</v>
      </c>
      <c r="S278" s="1">
        <v>13296</v>
      </c>
      <c r="T278" s="1">
        <v>13296</v>
      </c>
      <c r="U278">
        <v>0</v>
      </c>
      <c r="V278" s="1">
        <v>13283</v>
      </c>
      <c r="W278">
        <v>0.25</v>
      </c>
      <c r="X278">
        <v>0.03</v>
      </c>
      <c r="Y278" s="12">
        <v>0</v>
      </c>
      <c r="Z278" s="12">
        <v>0.9</v>
      </c>
      <c r="AA278" s="12">
        <v>4</v>
      </c>
      <c r="AB278" s="12">
        <v>0</v>
      </c>
      <c r="AC278" s="12">
        <v>3.2</v>
      </c>
      <c r="AD278" s="12">
        <v>3.2</v>
      </c>
      <c r="AE278">
        <v>2.88</v>
      </c>
      <c r="AG278">
        <v>0</v>
      </c>
      <c r="AH278">
        <v>55.7</v>
      </c>
      <c r="AI278">
        <v>32.5</v>
      </c>
      <c r="AL278">
        <v>0.308</v>
      </c>
      <c r="AM278">
        <v>0.44900000000000001</v>
      </c>
      <c r="AN278">
        <v>0.873</v>
      </c>
      <c r="AO278">
        <v>137.85400000000001</v>
      </c>
    </row>
    <row r="279" spans="1:41" x14ac:dyDescent="0.2">
      <c r="A279">
        <v>2023</v>
      </c>
      <c r="B279">
        <v>104408</v>
      </c>
      <c r="C279">
        <v>2341</v>
      </c>
      <c r="D279" t="s">
        <v>1142</v>
      </c>
      <c r="E279" t="s">
        <v>42</v>
      </c>
      <c r="F279">
        <v>928110</v>
      </c>
      <c r="G279" t="s">
        <v>399</v>
      </c>
      <c r="H279" t="s">
        <v>1143</v>
      </c>
      <c r="I279" t="s">
        <v>416</v>
      </c>
      <c r="J279" t="s">
        <v>46</v>
      </c>
      <c r="K279">
        <v>93246</v>
      </c>
      <c r="L279">
        <v>36.262</v>
      </c>
      <c r="M279">
        <v>-119.90600000000001</v>
      </c>
      <c r="N279" t="s">
        <v>1144</v>
      </c>
      <c r="O279" t="s">
        <v>418</v>
      </c>
      <c r="P279" t="s">
        <v>194</v>
      </c>
      <c r="Q279" t="s">
        <v>195</v>
      </c>
      <c r="R279" t="s">
        <v>75</v>
      </c>
      <c r="S279" s="1">
        <v>9467</v>
      </c>
      <c r="T279" s="1">
        <v>9467</v>
      </c>
      <c r="U279">
        <v>0</v>
      </c>
      <c r="V279" s="1">
        <v>9440</v>
      </c>
      <c r="W279">
        <v>0.34</v>
      </c>
      <c r="X279">
        <v>0.06</v>
      </c>
      <c r="Y279" s="12">
        <v>0</v>
      </c>
      <c r="Z279" s="12">
        <v>24</v>
      </c>
      <c r="AA279" s="12">
        <v>71.900000000000006</v>
      </c>
      <c r="AB279" s="12">
        <v>14.7</v>
      </c>
      <c r="AC279" s="12">
        <v>9.6</v>
      </c>
      <c r="AD279" s="12">
        <v>9.5</v>
      </c>
      <c r="AE279">
        <v>25.1</v>
      </c>
      <c r="AF279">
        <v>3.4</v>
      </c>
      <c r="AG279">
        <v>7.8659999999999997</v>
      </c>
      <c r="AH279">
        <v>351.1</v>
      </c>
      <c r="AI279">
        <v>102.03400000000001</v>
      </c>
      <c r="AL279">
        <v>5.12</v>
      </c>
      <c r="AM279">
        <v>14.711</v>
      </c>
      <c r="AN279">
        <v>33.639000000000003</v>
      </c>
      <c r="AO279" s="2">
        <v>3292.5630000000001</v>
      </c>
    </row>
    <row r="280" spans="1:41" x14ac:dyDescent="0.2">
      <c r="A280">
        <v>2023</v>
      </c>
      <c r="B280">
        <v>104409</v>
      </c>
      <c r="C280">
        <v>61</v>
      </c>
      <c r="D280" t="s">
        <v>1145</v>
      </c>
      <c r="E280" t="s">
        <v>42</v>
      </c>
      <c r="F280">
        <v>221330</v>
      </c>
      <c r="G280" t="s">
        <v>222</v>
      </c>
      <c r="H280" t="s">
        <v>1146</v>
      </c>
      <c r="I280" t="s">
        <v>100</v>
      </c>
      <c r="J280" t="s">
        <v>46</v>
      </c>
      <c r="K280">
        <v>95811</v>
      </c>
      <c r="L280">
        <v>38.573999999999998</v>
      </c>
      <c r="M280">
        <v>-121.501</v>
      </c>
      <c r="N280" t="s">
        <v>1147</v>
      </c>
      <c r="O280" t="s">
        <v>100</v>
      </c>
      <c r="P280" t="s">
        <v>101</v>
      </c>
      <c r="Q280" t="s">
        <v>74</v>
      </c>
      <c r="R280" t="s">
        <v>75</v>
      </c>
      <c r="S280" s="1">
        <v>12313</v>
      </c>
      <c r="T280" s="1">
        <v>12313</v>
      </c>
      <c r="U280">
        <v>0</v>
      </c>
      <c r="V280" s="1">
        <v>12300</v>
      </c>
      <c r="W280">
        <v>0.23</v>
      </c>
      <c r="X280">
        <v>0.02</v>
      </c>
      <c r="Y280" s="12">
        <v>0</v>
      </c>
      <c r="Z280" s="12">
        <v>0.6</v>
      </c>
      <c r="AA280" s="12">
        <v>1</v>
      </c>
      <c r="AB280" s="12">
        <v>0.1</v>
      </c>
      <c r="AC280" s="12">
        <v>0.9</v>
      </c>
      <c r="AD280" s="12">
        <v>0.9</v>
      </c>
      <c r="AE280">
        <v>1.25</v>
      </c>
      <c r="AH280">
        <v>2.5</v>
      </c>
      <c r="AI280">
        <v>2.65</v>
      </c>
      <c r="AM280">
        <v>0.111</v>
      </c>
      <c r="AN280">
        <v>0.13800000000000001</v>
      </c>
      <c r="AO280">
        <v>6.2309999999999999</v>
      </c>
    </row>
    <row r="281" spans="1:41" x14ac:dyDescent="0.2">
      <c r="A281">
        <v>2023</v>
      </c>
      <c r="B281">
        <v>104410</v>
      </c>
      <c r="C281">
        <v>1363</v>
      </c>
      <c r="D281" t="s">
        <v>1148</v>
      </c>
      <c r="E281" t="s">
        <v>42</v>
      </c>
      <c r="F281">
        <v>311514</v>
      </c>
      <c r="G281" t="s">
        <v>306</v>
      </c>
      <c r="H281" t="s">
        <v>1149</v>
      </c>
      <c r="I281" t="s">
        <v>318</v>
      </c>
      <c r="J281" t="s">
        <v>46</v>
      </c>
      <c r="K281">
        <v>93635</v>
      </c>
      <c r="L281">
        <v>37.055999999999997</v>
      </c>
      <c r="M281">
        <v>-120.83799999999999</v>
      </c>
      <c r="N281" t="s">
        <v>1150</v>
      </c>
      <c r="O281" t="s">
        <v>320</v>
      </c>
      <c r="P281" t="s">
        <v>194</v>
      </c>
      <c r="Q281" t="s">
        <v>195</v>
      </c>
      <c r="R281" t="s">
        <v>75</v>
      </c>
      <c r="S281" s="1">
        <v>13331</v>
      </c>
      <c r="T281" s="1">
        <v>13331</v>
      </c>
      <c r="U281">
        <v>0</v>
      </c>
      <c r="V281" s="1">
        <v>13317</v>
      </c>
      <c r="W281">
        <v>0.25</v>
      </c>
      <c r="X281">
        <v>0.03</v>
      </c>
      <c r="Y281" s="12">
        <v>0</v>
      </c>
      <c r="Z281" s="12">
        <v>0.6</v>
      </c>
      <c r="AA281" s="12">
        <v>1.2</v>
      </c>
      <c r="AB281" s="12">
        <v>0.3</v>
      </c>
      <c r="AC281" s="12">
        <v>3.8</v>
      </c>
      <c r="AD281" s="12">
        <v>1.5</v>
      </c>
      <c r="AE281">
        <v>1.35</v>
      </c>
      <c r="AI281">
        <v>2.87</v>
      </c>
      <c r="AM281">
        <v>0.06</v>
      </c>
      <c r="AN281">
        <v>4.3999999999999997E-2</v>
      </c>
      <c r="AO281">
        <v>0.69099999999999995</v>
      </c>
    </row>
    <row r="282" spans="1:41" x14ac:dyDescent="0.2">
      <c r="A282">
        <v>2023</v>
      </c>
      <c r="B282">
        <v>104415</v>
      </c>
      <c r="C282">
        <v>706</v>
      </c>
      <c r="D282" t="s">
        <v>1151</v>
      </c>
      <c r="E282" t="s">
        <v>42</v>
      </c>
      <c r="F282">
        <v>327420</v>
      </c>
      <c r="G282" t="s">
        <v>481</v>
      </c>
      <c r="H282" t="s">
        <v>1152</v>
      </c>
      <c r="I282" t="s">
        <v>565</v>
      </c>
      <c r="J282" t="s">
        <v>46</v>
      </c>
      <c r="K282">
        <v>94804</v>
      </c>
      <c r="L282">
        <v>37.917999999999999</v>
      </c>
      <c r="M282">
        <v>-122.372</v>
      </c>
      <c r="N282" t="s">
        <v>566</v>
      </c>
      <c r="O282" t="s">
        <v>173</v>
      </c>
      <c r="P282" t="s">
        <v>108</v>
      </c>
      <c r="Q282" t="s">
        <v>109</v>
      </c>
      <c r="R282" t="s">
        <v>51</v>
      </c>
      <c r="S282" s="1">
        <v>28186</v>
      </c>
      <c r="T282" s="1">
        <v>28186</v>
      </c>
      <c r="U282">
        <v>0</v>
      </c>
      <c r="V282" s="1">
        <v>28157</v>
      </c>
      <c r="W282">
        <v>0.53</v>
      </c>
      <c r="X282">
        <v>0.05</v>
      </c>
      <c r="Y282" s="12">
        <v>28186</v>
      </c>
      <c r="Z282" s="12">
        <v>9.6999999999999993</v>
      </c>
      <c r="AA282" s="12">
        <v>4</v>
      </c>
      <c r="AB282" s="12">
        <v>2</v>
      </c>
      <c r="AC282" s="12">
        <v>1.8</v>
      </c>
      <c r="AD282" s="12">
        <v>1.1000000000000001</v>
      </c>
      <c r="AE282">
        <v>5.07</v>
      </c>
      <c r="AI282" s="1">
        <v>2090</v>
      </c>
      <c r="AL282">
        <v>7.2999999999999995E-2</v>
      </c>
      <c r="AM282">
        <v>6.6550000000000002</v>
      </c>
      <c r="AN282">
        <v>4.1710000000000003</v>
      </c>
      <c r="AO282">
        <v>99.272000000000006</v>
      </c>
    </row>
    <row r="283" spans="1:41" x14ac:dyDescent="0.2">
      <c r="A283">
        <v>2023</v>
      </c>
      <c r="B283">
        <v>104419</v>
      </c>
      <c r="C283">
        <v>230</v>
      </c>
      <c r="D283" t="s">
        <v>1153</v>
      </c>
      <c r="E283" t="s">
        <v>42</v>
      </c>
      <c r="F283">
        <v>327123</v>
      </c>
      <c r="G283" t="s">
        <v>769</v>
      </c>
      <c r="H283" t="s">
        <v>1154</v>
      </c>
      <c r="I283" t="s">
        <v>707</v>
      </c>
      <c r="J283" t="s">
        <v>46</v>
      </c>
      <c r="K283">
        <v>95648</v>
      </c>
      <c r="L283">
        <v>38.893999999999998</v>
      </c>
      <c r="M283">
        <v>-121.292</v>
      </c>
      <c r="N283" t="s">
        <v>1155</v>
      </c>
      <c r="O283" t="s">
        <v>709</v>
      </c>
      <c r="P283" t="s">
        <v>710</v>
      </c>
      <c r="Q283" t="s">
        <v>74</v>
      </c>
      <c r="R283" t="s">
        <v>75</v>
      </c>
      <c r="S283" s="1">
        <v>11217</v>
      </c>
      <c r="T283" s="1">
        <v>11217</v>
      </c>
      <c r="U283">
        <v>0</v>
      </c>
      <c r="V283" s="1">
        <v>11206</v>
      </c>
      <c r="W283">
        <v>0.21</v>
      </c>
      <c r="X283">
        <v>0.02</v>
      </c>
      <c r="Y283" s="12">
        <v>0</v>
      </c>
      <c r="Z283" s="12">
        <v>0</v>
      </c>
      <c r="AA283" s="12">
        <v>0</v>
      </c>
      <c r="AB283" s="12">
        <v>0</v>
      </c>
      <c r="AC283" s="12">
        <v>0.2</v>
      </c>
      <c r="AD283" s="12">
        <v>0.2</v>
      </c>
      <c r="AE283">
        <v>0</v>
      </c>
      <c r="AM283">
        <v>0</v>
      </c>
      <c r="AN283">
        <v>0</v>
      </c>
      <c r="AO283">
        <v>0</v>
      </c>
    </row>
    <row r="284" spans="1:41" x14ac:dyDescent="0.2">
      <c r="A284">
        <v>2023</v>
      </c>
      <c r="B284">
        <v>104420</v>
      </c>
      <c r="C284">
        <v>141473</v>
      </c>
      <c r="D284" t="s">
        <v>1156</v>
      </c>
      <c r="E284" t="s">
        <v>42</v>
      </c>
      <c r="F284">
        <v>493190</v>
      </c>
      <c r="G284" t="s">
        <v>935</v>
      </c>
      <c r="H284" t="s">
        <v>1157</v>
      </c>
      <c r="I284" t="s">
        <v>1078</v>
      </c>
      <c r="J284" t="s">
        <v>46</v>
      </c>
      <c r="K284">
        <v>91730</v>
      </c>
      <c r="L284">
        <v>34.085999999999999</v>
      </c>
      <c r="M284">
        <v>-117.54</v>
      </c>
      <c r="N284" t="s">
        <v>1158</v>
      </c>
      <c r="O284" t="s">
        <v>57</v>
      </c>
      <c r="P284" t="s">
        <v>49</v>
      </c>
      <c r="Q284" t="s">
        <v>50</v>
      </c>
      <c r="R284" t="s">
        <v>75</v>
      </c>
      <c r="S284" s="1">
        <v>17101</v>
      </c>
      <c r="T284" s="1">
        <v>17101</v>
      </c>
      <c r="U284">
        <v>0</v>
      </c>
      <c r="V284" s="1">
        <v>17084</v>
      </c>
      <c r="W284">
        <v>0.32</v>
      </c>
      <c r="X284">
        <v>0.03</v>
      </c>
      <c r="Y284" s="12">
        <v>0</v>
      </c>
      <c r="Z284" s="12">
        <v>4.9000000000000004</v>
      </c>
      <c r="AA284" s="12">
        <v>1.8</v>
      </c>
      <c r="AB284" s="12">
        <v>0.1</v>
      </c>
      <c r="AC284" s="12">
        <v>3</v>
      </c>
      <c r="AD284" s="12">
        <v>2.5</v>
      </c>
      <c r="AE284">
        <v>1.97</v>
      </c>
      <c r="AF284">
        <v>0</v>
      </c>
      <c r="AI284">
        <v>4.18</v>
      </c>
      <c r="AM284">
        <v>0.45700000000000002</v>
      </c>
      <c r="AN284">
        <v>0.18</v>
      </c>
      <c r="AO284">
        <v>8.5139999999999993</v>
      </c>
    </row>
    <row r="285" spans="1:41" x14ac:dyDescent="0.2">
      <c r="A285">
        <v>2023</v>
      </c>
      <c r="B285">
        <v>104421</v>
      </c>
      <c r="C285">
        <v>19931</v>
      </c>
      <c r="D285" t="s">
        <v>1159</v>
      </c>
      <c r="E285" t="s">
        <v>42</v>
      </c>
      <c r="F285">
        <v>325180</v>
      </c>
      <c r="G285" t="s">
        <v>1160</v>
      </c>
      <c r="H285" t="s">
        <v>1161</v>
      </c>
      <c r="I285" t="s">
        <v>230</v>
      </c>
      <c r="J285" t="s">
        <v>46</v>
      </c>
      <c r="K285">
        <v>94565</v>
      </c>
      <c r="L285">
        <v>38.018999999999998</v>
      </c>
      <c r="M285">
        <v>-121.858</v>
      </c>
      <c r="N285" t="s">
        <v>231</v>
      </c>
      <c r="O285" t="s">
        <v>173</v>
      </c>
      <c r="P285" t="s">
        <v>108</v>
      </c>
      <c r="Q285" t="s">
        <v>109</v>
      </c>
      <c r="R285" t="s">
        <v>75</v>
      </c>
      <c r="S285" s="1">
        <v>11820</v>
      </c>
      <c r="T285" s="1">
        <v>11820</v>
      </c>
      <c r="U285">
        <v>0</v>
      </c>
      <c r="V285" s="1">
        <v>11808</v>
      </c>
      <c r="W285">
        <v>0.22</v>
      </c>
      <c r="X285">
        <v>0.02</v>
      </c>
      <c r="Y285" s="12">
        <v>0</v>
      </c>
      <c r="Z285" s="12">
        <v>0.7</v>
      </c>
      <c r="AA285" s="12">
        <v>1</v>
      </c>
      <c r="AB285" s="12">
        <v>0.1</v>
      </c>
      <c r="AC285" s="12">
        <v>4.9000000000000004</v>
      </c>
      <c r="AD285" s="12">
        <v>4.8</v>
      </c>
      <c r="AE285">
        <v>1.55</v>
      </c>
      <c r="AG285">
        <v>0</v>
      </c>
      <c r="AH285">
        <v>0</v>
      </c>
      <c r="AI285">
        <v>43</v>
      </c>
      <c r="AJ285" s="1">
        <v>5636</v>
      </c>
      <c r="AL285">
        <v>0.40799999999999997</v>
      </c>
      <c r="AM285">
        <v>51.570999999999998</v>
      </c>
      <c r="AN285">
        <v>14.760999999999999</v>
      </c>
      <c r="AO285">
        <v>11.186999999999999</v>
      </c>
    </row>
    <row r="286" spans="1:41" x14ac:dyDescent="0.2">
      <c r="A286">
        <v>2023</v>
      </c>
      <c r="B286">
        <v>104423</v>
      </c>
      <c r="C286">
        <v>27</v>
      </c>
      <c r="D286" t="s">
        <v>1162</v>
      </c>
      <c r="E286" t="s">
        <v>42</v>
      </c>
      <c r="F286">
        <v>325199</v>
      </c>
      <c r="G286" t="s">
        <v>354</v>
      </c>
      <c r="H286" t="s">
        <v>1163</v>
      </c>
      <c r="I286" t="s">
        <v>100</v>
      </c>
      <c r="J286" t="s">
        <v>46</v>
      </c>
      <c r="K286">
        <v>95826</v>
      </c>
      <c r="L286">
        <v>38.527999999999999</v>
      </c>
      <c r="M286">
        <v>-121.402</v>
      </c>
      <c r="N286" t="s">
        <v>162</v>
      </c>
      <c r="O286" t="s">
        <v>100</v>
      </c>
      <c r="P286" t="s">
        <v>101</v>
      </c>
      <c r="Q286" t="s">
        <v>74</v>
      </c>
      <c r="R286" t="s">
        <v>51</v>
      </c>
      <c r="S286" s="1">
        <v>20376</v>
      </c>
      <c r="T286" s="1">
        <v>20376</v>
      </c>
      <c r="U286">
        <v>0</v>
      </c>
      <c r="V286" s="1">
        <v>20355</v>
      </c>
      <c r="W286">
        <v>0.38</v>
      </c>
      <c r="X286">
        <v>0.04</v>
      </c>
      <c r="Y286" s="12">
        <v>20376</v>
      </c>
      <c r="Z286" s="12">
        <v>8.1999999999999993</v>
      </c>
      <c r="AA286" s="12">
        <v>2.6</v>
      </c>
      <c r="AB286" s="12">
        <v>0.1</v>
      </c>
      <c r="AC286" s="12">
        <v>2.2000000000000002</v>
      </c>
      <c r="AD286" s="12">
        <v>1.9</v>
      </c>
      <c r="AE286">
        <v>14.4</v>
      </c>
      <c r="AH286">
        <v>1.1100000000000001</v>
      </c>
      <c r="AI286">
        <v>133</v>
      </c>
      <c r="AM286">
        <v>0.75700000000000001</v>
      </c>
      <c r="AN286">
        <v>0.52</v>
      </c>
      <c r="AO286">
        <v>12.519</v>
      </c>
    </row>
    <row r="287" spans="1:41" x14ac:dyDescent="0.2">
      <c r="A287">
        <v>2023</v>
      </c>
      <c r="B287">
        <v>104424</v>
      </c>
      <c r="C287">
        <v>4238</v>
      </c>
      <c r="D287" t="s">
        <v>1164</v>
      </c>
      <c r="E287" t="s">
        <v>250</v>
      </c>
      <c r="F287">
        <v>486210</v>
      </c>
      <c r="G287" t="s">
        <v>270</v>
      </c>
      <c r="H287" t="s">
        <v>1165</v>
      </c>
      <c r="I287" t="s">
        <v>1166</v>
      </c>
      <c r="J287" t="s">
        <v>46</v>
      </c>
      <c r="K287">
        <v>95220</v>
      </c>
      <c r="L287">
        <v>38.197000000000003</v>
      </c>
      <c r="M287">
        <v>-121.271</v>
      </c>
      <c r="N287" t="s">
        <v>1167</v>
      </c>
      <c r="O287" t="s">
        <v>388</v>
      </c>
      <c r="P287" t="s">
        <v>194</v>
      </c>
      <c r="Q287" t="s">
        <v>195</v>
      </c>
      <c r="R287" t="s">
        <v>75</v>
      </c>
      <c r="S287" s="1">
        <v>10721</v>
      </c>
      <c r="T287" s="1">
        <v>10721</v>
      </c>
      <c r="U287">
        <v>0</v>
      </c>
      <c r="V287" s="1">
        <v>9880</v>
      </c>
      <c r="W287">
        <v>33.46</v>
      </c>
      <c r="X287">
        <v>0.02</v>
      </c>
      <c r="Y287" s="12">
        <v>0</v>
      </c>
      <c r="Z287" s="12">
        <v>0.8</v>
      </c>
      <c r="AA287" s="12">
        <v>2.8</v>
      </c>
      <c r="AB287" s="12">
        <v>0.1</v>
      </c>
      <c r="AC287" s="12">
        <v>1.8</v>
      </c>
      <c r="AD287" s="12">
        <v>1.8</v>
      </c>
      <c r="AE287">
        <v>8.35</v>
      </c>
      <c r="AF287">
        <v>2.92</v>
      </c>
      <c r="AH287">
        <v>1.33</v>
      </c>
      <c r="AI287">
        <v>526</v>
      </c>
      <c r="AK287">
        <v>0.15</v>
      </c>
      <c r="AM287">
        <v>5.2629999999999999</v>
      </c>
      <c r="AN287">
        <v>3.6309999999999998</v>
      </c>
      <c r="AO287">
        <v>36.643000000000001</v>
      </c>
    </row>
    <row r="288" spans="1:41" x14ac:dyDescent="0.2">
      <c r="A288">
        <v>2023</v>
      </c>
      <c r="B288">
        <v>104425</v>
      </c>
      <c r="C288">
        <v>17657</v>
      </c>
      <c r="D288" t="s">
        <v>1168</v>
      </c>
      <c r="E288" t="s">
        <v>250</v>
      </c>
      <c r="F288">
        <v>486210</v>
      </c>
      <c r="G288" t="s">
        <v>270</v>
      </c>
      <c r="H288" t="s">
        <v>1169</v>
      </c>
      <c r="I288" t="s">
        <v>1170</v>
      </c>
      <c r="J288" t="s">
        <v>46</v>
      </c>
      <c r="K288">
        <v>94585</v>
      </c>
      <c r="L288">
        <v>38.159999999999997</v>
      </c>
      <c r="M288">
        <v>-121.90600000000001</v>
      </c>
      <c r="N288" t="s">
        <v>852</v>
      </c>
      <c r="O288" t="s">
        <v>239</v>
      </c>
      <c r="P288" t="s">
        <v>108</v>
      </c>
      <c r="Q288" t="s">
        <v>109</v>
      </c>
      <c r="R288" t="s">
        <v>75</v>
      </c>
      <c r="S288" s="1">
        <v>16912</v>
      </c>
      <c r="T288" s="1">
        <v>16912</v>
      </c>
      <c r="U288">
        <v>0</v>
      </c>
      <c r="V288" s="1">
        <v>13220</v>
      </c>
      <c r="W288">
        <v>147.37</v>
      </c>
      <c r="X288">
        <v>0.03</v>
      </c>
      <c r="Y288" s="12">
        <v>0</v>
      </c>
      <c r="Z288" s="12">
        <v>3.7</v>
      </c>
      <c r="AA288" s="12">
        <v>1.8</v>
      </c>
      <c r="AB288" s="12">
        <v>0.1</v>
      </c>
      <c r="AC288" s="12">
        <v>2.2000000000000002</v>
      </c>
      <c r="AD288" s="12">
        <v>2.2000000000000002</v>
      </c>
      <c r="AE288">
        <v>40.9</v>
      </c>
      <c r="AH288">
        <v>0.82499999999999996</v>
      </c>
      <c r="AI288">
        <v>371</v>
      </c>
      <c r="AL288">
        <v>1.9E-2</v>
      </c>
      <c r="AM288">
        <v>1.44</v>
      </c>
      <c r="AN288">
        <v>0.98</v>
      </c>
      <c r="AO288">
        <v>28.556999999999999</v>
      </c>
    </row>
    <row r="289" spans="1:41" x14ac:dyDescent="0.2">
      <c r="A289">
        <v>2023</v>
      </c>
      <c r="B289">
        <v>104426</v>
      </c>
      <c r="C289">
        <v>2658</v>
      </c>
      <c r="D289" t="s">
        <v>1171</v>
      </c>
      <c r="E289" t="s">
        <v>250</v>
      </c>
      <c r="F289">
        <v>211111</v>
      </c>
      <c r="G289" t="s">
        <v>256</v>
      </c>
      <c r="H289" t="s">
        <v>1172</v>
      </c>
      <c r="I289" t="s">
        <v>589</v>
      </c>
      <c r="J289" t="s">
        <v>46</v>
      </c>
      <c r="K289">
        <v>93268</v>
      </c>
      <c r="L289">
        <v>35.180999999999997</v>
      </c>
      <c r="M289">
        <v>-119.461</v>
      </c>
      <c r="N289" t="s">
        <v>1173</v>
      </c>
      <c r="O289" t="s">
        <v>193</v>
      </c>
      <c r="P289" t="s">
        <v>194</v>
      </c>
      <c r="Q289" t="s">
        <v>195</v>
      </c>
      <c r="R289" t="s">
        <v>51</v>
      </c>
      <c r="S289" s="1">
        <v>35972</v>
      </c>
      <c r="T289" s="1">
        <v>35972</v>
      </c>
      <c r="U289">
        <v>0</v>
      </c>
      <c r="V289" s="1">
        <v>34562</v>
      </c>
      <c r="W289">
        <v>55.62</v>
      </c>
      <c r="X289">
        <v>0.06</v>
      </c>
      <c r="Y289" s="12">
        <v>35567</v>
      </c>
      <c r="Z289" s="12">
        <v>8.1999999999999993</v>
      </c>
      <c r="AA289" s="12">
        <v>1.7</v>
      </c>
      <c r="AB289" s="12">
        <v>0.7</v>
      </c>
      <c r="AC289" s="12">
        <v>0.8</v>
      </c>
      <c r="AD289" s="12">
        <v>0.8</v>
      </c>
      <c r="AE289">
        <v>40.770000000000003</v>
      </c>
      <c r="AI289">
        <v>17.867999999999999</v>
      </c>
      <c r="AK289">
        <v>232.95</v>
      </c>
      <c r="AM289">
        <v>1.6679999999999999</v>
      </c>
      <c r="AN289">
        <v>0.95899999999999996</v>
      </c>
      <c r="AO289">
        <v>10.467000000000001</v>
      </c>
    </row>
    <row r="290" spans="1:41" x14ac:dyDescent="0.2">
      <c r="A290">
        <v>2023</v>
      </c>
      <c r="B290">
        <v>104433</v>
      </c>
      <c r="C290">
        <v>558</v>
      </c>
      <c r="D290" t="s">
        <v>1174</v>
      </c>
      <c r="E290" t="s">
        <v>42</v>
      </c>
      <c r="F290">
        <v>311111</v>
      </c>
      <c r="G290" t="s">
        <v>1175</v>
      </c>
      <c r="H290" t="s">
        <v>1176</v>
      </c>
      <c r="I290" t="s">
        <v>1025</v>
      </c>
      <c r="J290" t="s">
        <v>46</v>
      </c>
      <c r="K290">
        <v>95330</v>
      </c>
      <c r="L290">
        <v>37.854999999999997</v>
      </c>
      <c r="M290">
        <v>-121.277</v>
      </c>
      <c r="N290" t="s">
        <v>1026</v>
      </c>
      <c r="O290" t="s">
        <v>388</v>
      </c>
      <c r="P290" t="s">
        <v>194</v>
      </c>
      <c r="Q290" t="s">
        <v>195</v>
      </c>
      <c r="R290" t="s">
        <v>75</v>
      </c>
      <c r="S290" s="1">
        <v>12651</v>
      </c>
      <c r="T290" s="1">
        <v>12651</v>
      </c>
      <c r="U290">
        <v>0</v>
      </c>
      <c r="V290" s="1">
        <v>12638</v>
      </c>
      <c r="W290">
        <v>0.24</v>
      </c>
      <c r="X290">
        <v>0.02</v>
      </c>
      <c r="Y290" s="12">
        <v>0</v>
      </c>
      <c r="Z290" s="12">
        <v>1.7</v>
      </c>
      <c r="AA290" s="12">
        <v>2.2000000000000002</v>
      </c>
      <c r="AB290" s="12">
        <v>0.3</v>
      </c>
      <c r="AC290" s="12">
        <v>8.3000000000000007</v>
      </c>
      <c r="AD290" s="12">
        <v>1.2</v>
      </c>
      <c r="AE290">
        <v>1.38</v>
      </c>
      <c r="AH290">
        <v>7.85</v>
      </c>
      <c r="AI290">
        <v>2.93</v>
      </c>
      <c r="AM290">
        <v>6.4000000000000001E-2</v>
      </c>
      <c r="AN290">
        <v>7.2999999999999995E-2</v>
      </c>
      <c r="AO290">
        <v>18.812000000000001</v>
      </c>
    </row>
    <row r="291" spans="1:41" x14ac:dyDescent="0.2">
      <c r="A291">
        <v>2023</v>
      </c>
      <c r="B291">
        <v>104436</v>
      </c>
      <c r="C291">
        <v>6324</v>
      </c>
      <c r="D291" t="s">
        <v>1177</v>
      </c>
      <c r="E291" t="s">
        <v>42</v>
      </c>
      <c r="F291">
        <v>622110</v>
      </c>
      <c r="G291" t="s">
        <v>868</v>
      </c>
      <c r="H291" t="s">
        <v>1178</v>
      </c>
      <c r="I291" t="s">
        <v>57</v>
      </c>
      <c r="J291" t="s">
        <v>46</v>
      </c>
      <c r="K291">
        <v>92404</v>
      </c>
      <c r="L291">
        <v>34.134999999999998</v>
      </c>
      <c r="M291">
        <v>-117.277</v>
      </c>
      <c r="N291" t="s">
        <v>1179</v>
      </c>
      <c r="O291" t="s">
        <v>57</v>
      </c>
      <c r="P291" t="s">
        <v>49</v>
      </c>
      <c r="Q291" t="s">
        <v>50</v>
      </c>
      <c r="R291" t="s">
        <v>75</v>
      </c>
      <c r="S291" s="1">
        <v>8759</v>
      </c>
      <c r="T291" s="1">
        <v>8759</v>
      </c>
      <c r="U291">
        <v>0</v>
      </c>
      <c r="V291" s="1">
        <v>8749</v>
      </c>
      <c r="W291">
        <v>0.17</v>
      </c>
      <c r="X291">
        <v>0.02</v>
      </c>
      <c r="Y291" s="12">
        <v>0</v>
      </c>
      <c r="Z291" s="12">
        <v>1</v>
      </c>
      <c r="AA291" s="12">
        <v>2.8</v>
      </c>
      <c r="AB291" s="12">
        <v>0</v>
      </c>
      <c r="AC291" s="12">
        <v>0.7</v>
      </c>
      <c r="AD291" s="12">
        <v>0.7</v>
      </c>
      <c r="AE291">
        <v>1.58</v>
      </c>
      <c r="AF291">
        <v>1.5</v>
      </c>
      <c r="AG291">
        <v>0</v>
      </c>
      <c r="AH291">
        <v>24.2</v>
      </c>
      <c r="AI291">
        <v>43.7</v>
      </c>
      <c r="AJ291">
        <v>0.13500000000000001</v>
      </c>
      <c r="AL291">
        <v>3.0000000000000001E-3</v>
      </c>
      <c r="AM291">
        <v>16.172000000000001</v>
      </c>
      <c r="AN291">
        <v>11.673999999999999</v>
      </c>
      <c r="AO291">
        <v>67.17</v>
      </c>
    </row>
    <row r="292" spans="1:41" x14ac:dyDescent="0.2">
      <c r="A292">
        <v>2023</v>
      </c>
      <c r="B292">
        <v>104444</v>
      </c>
      <c r="C292">
        <v>800393</v>
      </c>
      <c r="D292" t="s">
        <v>1180</v>
      </c>
      <c r="E292" t="s">
        <v>111</v>
      </c>
      <c r="F292">
        <v>324110</v>
      </c>
      <c r="G292" t="s">
        <v>112</v>
      </c>
      <c r="H292" t="s">
        <v>1181</v>
      </c>
      <c r="I292" t="s">
        <v>45</v>
      </c>
      <c r="J292" t="s">
        <v>46</v>
      </c>
      <c r="K292">
        <v>90744</v>
      </c>
      <c r="L292">
        <v>33.798000000000002</v>
      </c>
      <c r="M292">
        <v>-118.239</v>
      </c>
      <c r="N292" t="s">
        <v>1182</v>
      </c>
      <c r="O292" t="s">
        <v>48</v>
      </c>
      <c r="P292" t="s">
        <v>49</v>
      </c>
      <c r="Q292" t="s">
        <v>50</v>
      </c>
      <c r="R292" t="s">
        <v>75</v>
      </c>
      <c r="S292" s="1">
        <v>16197</v>
      </c>
      <c r="T292" s="1">
        <v>16197</v>
      </c>
      <c r="U292">
        <v>0</v>
      </c>
      <c r="V292" s="1">
        <v>15999</v>
      </c>
      <c r="W292">
        <v>7.04</v>
      </c>
      <c r="X292">
        <v>7.0000000000000007E-2</v>
      </c>
      <c r="Y292" s="12">
        <v>0</v>
      </c>
      <c r="Z292" s="12">
        <v>5.8</v>
      </c>
      <c r="AA292" s="12">
        <v>7.7</v>
      </c>
      <c r="AB292" s="12">
        <v>0.3</v>
      </c>
      <c r="AC292" s="12">
        <v>0.9</v>
      </c>
      <c r="AD292" s="12">
        <v>0.9</v>
      </c>
      <c r="AE292">
        <v>47.7</v>
      </c>
      <c r="AF292">
        <v>0.27300000000000002</v>
      </c>
      <c r="AG292">
        <v>1E-3</v>
      </c>
      <c r="AH292">
        <v>12.7</v>
      </c>
      <c r="AI292">
        <v>19.399999999999999</v>
      </c>
      <c r="AJ292">
        <v>7.0999999999999994E-2</v>
      </c>
      <c r="AK292">
        <v>1.78</v>
      </c>
      <c r="AL292">
        <v>6.0000000000000001E-3</v>
      </c>
      <c r="AM292">
        <v>0.90100000000000002</v>
      </c>
      <c r="AN292">
        <v>0.77</v>
      </c>
      <c r="AO292">
        <v>49.570999999999998</v>
      </c>
    </row>
    <row r="293" spans="1:41" x14ac:dyDescent="0.2">
      <c r="A293">
        <v>2023</v>
      </c>
      <c r="B293">
        <v>104457</v>
      </c>
      <c r="C293">
        <v>119710</v>
      </c>
      <c r="D293" t="s">
        <v>1183</v>
      </c>
      <c r="E293" t="s">
        <v>42</v>
      </c>
      <c r="F293">
        <v>312111</v>
      </c>
      <c r="G293" t="s">
        <v>1184</v>
      </c>
      <c r="H293" t="s">
        <v>1185</v>
      </c>
      <c r="I293" t="s">
        <v>426</v>
      </c>
      <c r="J293" t="s">
        <v>46</v>
      </c>
      <c r="K293">
        <v>92801</v>
      </c>
      <c r="L293">
        <v>33.851999999999997</v>
      </c>
      <c r="M293">
        <v>-117.913</v>
      </c>
      <c r="N293" t="s">
        <v>1186</v>
      </c>
      <c r="O293" t="s">
        <v>167</v>
      </c>
      <c r="P293" t="s">
        <v>49</v>
      </c>
      <c r="Q293" t="s">
        <v>50</v>
      </c>
      <c r="R293" t="s">
        <v>75</v>
      </c>
      <c r="S293" s="1">
        <v>15633</v>
      </c>
      <c r="T293" s="1">
        <v>15633</v>
      </c>
      <c r="U293">
        <v>0</v>
      </c>
      <c r="V293" s="1">
        <v>15617</v>
      </c>
      <c r="W293">
        <v>0.28999999999999998</v>
      </c>
      <c r="X293">
        <v>0.03</v>
      </c>
      <c r="Y293" s="12">
        <v>0</v>
      </c>
      <c r="Z293" s="12">
        <v>0.8</v>
      </c>
      <c r="AA293" s="12">
        <v>1.6</v>
      </c>
      <c r="AB293" s="12">
        <v>0.1</v>
      </c>
      <c r="AC293" s="12">
        <v>1.1000000000000001</v>
      </c>
      <c r="AD293" s="12">
        <v>1.1000000000000001</v>
      </c>
      <c r="AE293">
        <v>1.68</v>
      </c>
      <c r="AI293">
        <v>3.56</v>
      </c>
      <c r="AM293">
        <v>0.125</v>
      </c>
      <c r="AN293">
        <v>0.13500000000000001</v>
      </c>
      <c r="AO293">
        <v>0.86399999999999999</v>
      </c>
    </row>
    <row r="294" spans="1:41" x14ac:dyDescent="0.2">
      <c r="A294">
        <v>2023</v>
      </c>
      <c r="B294">
        <v>104458</v>
      </c>
      <c r="C294">
        <v>3009</v>
      </c>
      <c r="D294" t="s">
        <v>1187</v>
      </c>
      <c r="E294" t="s">
        <v>250</v>
      </c>
      <c r="F294">
        <v>211111</v>
      </c>
      <c r="G294" t="s">
        <v>256</v>
      </c>
      <c r="H294" t="s">
        <v>1188</v>
      </c>
      <c r="I294" t="s">
        <v>1047</v>
      </c>
      <c r="J294" t="s">
        <v>46</v>
      </c>
      <c r="K294">
        <v>93454</v>
      </c>
      <c r="L294">
        <v>34.817</v>
      </c>
      <c r="M294">
        <v>-120.283</v>
      </c>
      <c r="N294" t="s">
        <v>700</v>
      </c>
      <c r="O294" t="s">
        <v>524</v>
      </c>
      <c r="P294" t="s">
        <v>525</v>
      </c>
      <c r="Q294" t="s">
        <v>155</v>
      </c>
      <c r="R294" t="s">
        <v>51</v>
      </c>
      <c r="S294" s="1">
        <v>56761</v>
      </c>
      <c r="T294" s="1">
        <v>56761</v>
      </c>
      <c r="U294">
        <v>0</v>
      </c>
      <c r="V294" s="1">
        <v>55881</v>
      </c>
      <c r="W294">
        <v>34.01</v>
      </c>
      <c r="X294">
        <v>0.1</v>
      </c>
      <c r="Y294" s="12">
        <v>56154</v>
      </c>
      <c r="Z294" s="12">
        <v>88.6</v>
      </c>
      <c r="AA294" s="12">
        <v>4.5</v>
      </c>
      <c r="AB294" s="12">
        <v>4.0999999999999996</v>
      </c>
      <c r="AC294" s="12">
        <v>3.7</v>
      </c>
      <c r="AD294" s="12">
        <v>3.7</v>
      </c>
      <c r="AE294" s="2">
        <v>4515.32</v>
      </c>
      <c r="AI294">
        <v>19.105</v>
      </c>
      <c r="AL294">
        <v>1.94</v>
      </c>
      <c r="AM294">
        <v>30.861999999999998</v>
      </c>
      <c r="AN294">
        <v>29.77</v>
      </c>
      <c r="AO294" s="2">
        <v>1057.174</v>
      </c>
    </row>
    <row r="295" spans="1:41" x14ac:dyDescent="0.2">
      <c r="A295">
        <v>2023</v>
      </c>
      <c r="B295">
        <v>104460</v>
      </c>
      <c r="C295">
        <v>1482</v>
      </c>
      <c r="D295" t="s">
        <v>1189</v>
      </c>
      <c r="E295" t="s">
        <v>250</v>
      </c>
      <c r="F295">
        <v>211111</v>
      </c>
      <c r="G295" t="s">
        <v>256</v>
      </c>
      <c r="H295" t="s">
        <v>1190</v>
      </c>
      <c r="I295" t="s">
        <v>1191</v>
      </c>
      <c r="J295" t="s">
        <v>46</v>
      </c>
      <c r="K295">
        <v>93117</v>
      </c>
      <c r="L295">
        <v>34.484000000000002</v>
      </c>
      <c r="M295">
        <v>-120.042</v>
      </c>
      <c r="N295" t="s">
        <v>1192</v>
      </c>
      <c r="O295" t="s">
        <v>524</v>
      </c>
      <c r="P295" t="s">
        <v>525</v>
      </c>
      <c r="Q295" t="s">
        <v>155</v>
      </c>
      <c r="R295" t="s">
        <v>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s="12">
        <v>0</v>
      </c>
      <c r="Z295" s="12">
        <v>1.7</v>
      </c>
      <c r="AA295" s="12">
        <v>1.3</v>
      </c>
      <c r="AB295" s="12">
        <v>0</v>
      </c>
      <c r="AC295" s="12">
        <v>0.2</v>
      </c>
      <c r="AD295" s="12">
        <v>0.2</v>
      </c>
      <c r="AH295">
        <v>483</v>
      </c>
      <c r="AM295">
        <v>2E-3</v>
      </c>
      <c r="AN295">
        <v>1.6519999999999999</v>
      </c>
      <c r="AO295" s="1">
        <v>1116</v>
      </c>
    </row>
    <row r="296" spans="1:41" x14ac:dyDescent="0.2">
      <c r="A296">
        <v>2023</v>
      </c>
      <c r="B296">
        <v>104485</v>
      </c>
      <c r="C296">
        <v>3187</v>
      </c>
      <c r="D296" t="s">
        <v>1193</v>
      </c>
      <c r="E296" t="s">
        <v>250</v>
      </c>
      <c r="F296">
        <v>211111</v>
      </c>
      <c r="G296" t="s">
        <v>256</v>
      </c>
      <c r="H296" t="s">
        <v>1194</v>
      </c>
      <c r="I296" t="s">
        <v>191</v>
      </c>
      <c r="J296" t="s">
        <v>46</v>
      </c>
      <c r="K296">
        <v>93251</v>
      </c>
      <c r="L296">
        <v>35.442</v>
      </c>
      <c r="M296">
        <v>-119.78700000000001</v>
      </c>
      <c r="N296" t="s">
        <v>192</v>
      </c>
      <c r="O296" t="s">
        <v>193</v>
      </c>
      <c r="P296" t="s">
        <v>194</v>
      </c>
      <c r="Q296" t="s">
        <v>195</v>
      </c>
      <c r="R296" t="s">
        <v>51</v>
      </c>
      <c r="S296">
        <v>115</v>
      </c>
      <c r="T296">
        <v>115</v>
      </c>
      <c r="U296">
        <v>0</v>
      </c>
      <c r="V296">
        <v>96</v>
      </c>
      <c r="W296">
        <v>0.76</v>
      </c>
      <c r="X296">
        <v>0</v>
      </c>
      <c r="Y296" s="12">
        <v>111</v>
      </c>
      <c r="Z296" s="12">
        <v>0.6</v>
      </c>
      <c r="AA296" s="12">
        <v>0.1</v>
      </c>
      <c r="AB296" s="12">
        <v>0</v>
      </c>
      <c r="AC296" s="12">
        <v>0</v>
      </c>
      <c r="AD296" s="12">
        <v>0</v>
      </c>
      <c r="AE296">
        <v>4.21</v>
      </c>
      <c r="AI296">
        <v>2.06</v>
      </c>
      <c r="AK296">
        <v>16</v>
      </c>
      <c r="AM296">
        <v>0.1</v>
      </c>
      <c r="AN296">
        <v>5.7000000000000002E-2</v>
      </c>
      <c r="AO296">
        <v>1.1339999999999999</v>
      </c>
    </row>
    <row r="297" spans="1:41" x14ac:dyDescent="0.2">
      <c r="A297">
        <v>2023</v>
      </c>
      <c r="B297">
        <v>104487</v>
      </c>
      <c r="C297">
        <v>1</v>
      </c>
      <c r="D297" t="s">
        <v>1195</v>
      </c>
      <c r="E297" t="s">
        <v>42</v>
      </c>
      <c r="F297">
        <v>321219</v>
      </c>
      <c r="G297" t="s">
        <v>1196</v>
      </c>
      <c r="H297" t="s">
        <v>1197</v>
      </c>
      <c r="I297" t="s">
        <v>1198</v>
      </c>
      <c r="J297" t="s">
        <v>46</v>
      </c>
      <c r="K297">
        <v>95654</v>
      </c>
      <c r="L297">
        <v>38.368000000000002</v>
      </c>
      <c r="M297">
        <v>-120.807</v>
      </c>
      <c r="N297" t="s">
        <v>1199</v>
      </c>
      <c r="O297" t="s">
        <v>1200</v>
      </c>
      <c r="P297" t="s">
        <v>1201</v>
      </c>
      <c r="Q297" t="s">
        <v>469</v>
      </c>
      <c r="R297" t="s">
        <v>75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12">
        <v>0</v>
      </c>
      <c r="Z297" s="12">
        <v>0.1</v>
      </c>
      <c r="AA297" s="12">
        <v>3.2</v>
      </c>
      <c r="AB297" s="12">
        <v>0.3</v>
      </c>
      <c r="AC297" s="12">
        <v>0.3</v>
      </c>
      <c r="AD297" s="12">
        <v>0.3</v>
      </c>
    </row>
    <row r="298" spans="1:41" x14ac:dyDescent="0.2">
      <c r="A298">
        <v>2023</v>
      </c>
      <c r="B298">
        <v>104488</v>
      </c>
      <c r="C298">
        <v>2018</v>
      </c>
      <c r="D298" t="s">
        <v>1202</v>
      </c>
      <c r="E298" t="s">
        <v>250</v>
      </c>
      <c r="F298">
        <v>211111</v>
      </c>
      <c r="G298" t="s">
        <v>256</v>
      </c>
      <c r="H298" t="s">
        <v>1203</v>
      </c>
      <c r="I298" t="s">
        <v>247</v>
      </c>
      <c r="J298" t="s">
        <v>46</v>
      </c>
      <c r="K298">
        <v>93309</v>
      </c>
      <c r="L298">
        <v>35.363</v>
      </c>
      <c r="M298">
        <v>-119.05800000000001</v>
      </c>
      <c r="N298" t="s">
        <v>1204</v>
      </c>
      <c r="O298" t="s">
        <v>193</v>
      </c>
      <c r="P298" t="s">
        <v>194</v>
      </c>
      <c r="Q298" t="s">
        <v>195</v>
      </c>
      <c r="R298" t="s">
        <v>51</v>
      </c>
      <c r="S298" s="1">
        <v>335035</v>
      </c>
      <c r="T298" s="1">
        <v>335035</v>
      </c>
      <c r="U298">
        <v>0</v>
      </c>
      <c r="V298" s="1">
        <v>333180</v>
      </c>
      <c r="W298">
        <v>66.94</v>
      </c>
      <c r="X298">
        <v>0.61</v>
      </c>
      <c r="Y298" s="12">
        <v>333423</v>
      </c>
      <c r="Z298" s="12">
        <v>25.3</v>
      </c>
      <c r="AA298" s="12">
        <v>25.5</v>
      </c>
      <c r="AB298" s="12">
        <v>3.4</v>
      </c>
      <c r="AC298" s="12">
        <v>12.6</v>
      </c>
      <c r="AD298" s="12">
        <v>12.6</v>
      </c>
      <c r="AE298">
        <v>83.87</v>
      </c>
      <c r="AF298">
        <v>4.63</v>
      </c>
      <c r="AI298">
        <v>367.02300000000002</v>
      </c>
      <c r="AK298">
        <v>731.84</v>
      </c>
      <c r="AM298">
        <v>9.5239999999999991</v>
      </c>
      <c r="AN298">
        <v>5.9619999999999997</v>
      </c>
      <c r="AO298">
        <v>59.576999999999998</v>
      </c>
    </row>
    <row r="299" spans="1:41" x14ac:dyDescent="0.2">
      <c r="A299">
        <v>2023</v>
      </c>
      <c r="B299">
        <v>104514</v>
      </c>
      <c r="C299">
        <v>59</v>
      </c>
      <c r="D299" t="s">
        <v>1205</v>
      </c>
      <c r="E299" t="s">
        <v>42</v>
      </c>
      <c r="F299">
        <v>611310</v>
      </c>
      <c r="G299" t="s">
        <v>103</v>
      </c>
      <c r="H299" t="s">
        <v>1206</v>
      </c>
      <c r="I299" t="s">
        <v>914</v>
      </c>
      <c r="J299" t="s">
        <v>46</v>
      </c>
      <c r="K299">
        <v>94720</v>
      </c>
      <c r="L299">
        <v>37.872</v>
      </c>
      <c r="M299">
        <v>-122.267</v>
      </c>
      <c r="N299" t="s">
        <v>1207</v>
      </c>
      <c r="O299" t="s">
        <v>350</v>
      </c>
      <c r="P299" t="s">
        <v>108</v>
      </c>
      <c r="Q299" t="s">
        <v>109</v>
      </c>
      <c r="R299" t="s">
        <v>51</v>
      </c>
      <c r="S299" s="1">
        <v>121435</v>
      </c>
      <c r="T299" s="1">
        <v>121435</v>
      </c>
      <c r="U299">
        <v>0</v>
      </c>
      <c r="V299" s="1">
        <v>121310</v>
      </c>
      <c r="W299">
        <v>2.29</v>
      </c>
      <c r="X299">
        <v>0.23</v>
      </c>
      <c r="Y299" s="12">
        <v>121435</v>
      </c>
      <c r="Z299" s="12">
        <v>29.5</v>
      </c>
      <c r="AA299" s="12">
        <v>44.5</v>
      </c>
      <c r="AB299" s="12">
        <v>0.6</v>
      </c>
      <c r="AC299" s="12">
        <v>12.1</v>
      </c>
      <c r="AD299" s="12">
        <v>12.1</v>
      </c>
      <c r="AE299">
        <v>75.400000000000006</v>
      </c>
      <c r="AF299">
        <v>0.10199999999999999</v>
      </c>
      <c r="AG299">
        <v>3.1E-2</v>
      </c>
      <c r="AH299">
        <v>37.700000000000003</v>
      </c>
      <c r="AI299" s="1">
        <v>1192</v>
      </c>
      <c r="AL299">
        <v>0.67700000000000005</v>
      </c>
      <c r="AM299">
        <v>7.8019999999999996</v>
      </c>
      <c r="AN299">
        <v>7.8979999999999997</v>
      </c>
      <c r="AO299">
        <v>223.191</v>
      </c>
    </row>
    <row r="300" spans="1:41" x14ac:dyDescent="0.2">
      <c r="A300">
        <v>2023</v>
      </c>
      <c r="B300">
        <v>104516</v>
      </c>
      <c r="C300">
        <v>20459</v>
      </c>
      <c r="D300" t="s">
        <v>1208</v>
      </c>
      <c r="E300" t="s">
        <v>42</v>
      </c>
      <c r="F300">
        <v>336111</v>
      </c>
      <c r="G300" t="s">
        <v>1209</v>
      </c>
      <c r="H300" t="s">
        <v>1210</v>
      </c>
      <c r="I300" t="s">
        <v>1211</v>
      </c>
      <c r="J300" t="s">
        <v>46</v>
      </c>
      <c r="K300">
        <v>94538</v>
      </c>
      <c r="L300">
        <v>37.493000000000002</v>
      </c>
      <c r="M300">
        <v>-121.944</v>
      </c>
      <c r="N300" t="s">
        <v>1212</v>
      </c>
      <c r="O300" t="s">
        <v>350</v>
      </c>
      <c r="P300" t="s">
        <v>108</v>
      </c>
      <c r="Q300" t="s">
        <v>109</v>
      </c>
      <c r="R300" t="s">
        <v>51</v>
      </c>
      <c r="S300" s="1">
        <v>47017</v>
      </c>
      <c r="T300" s="1">
        <v>47017</v>
      </c>
      <c r="U300">
        <v>0</v>
      </c>
      <c r="V300" s="1">
        <v>46969</v>
      </c>
      <c r="W300">
        <v>0.89</v>
      </c>
      <c r="X300">
        <v>0.09</v>
      </c>
      <c r="Y300" s="12">
        <v>47017</v>
      </c>
      <c r="Z300" s="12">
        <v>171.8</v>
      </c>
      <c r="AA300" s="12">
        <v>11.5</v>
      </c>
      <c r="AB300" s="12">
        <v>0.1</v>
      </c>
      <c r="AC300" s="12">
        <v>0.3</v>
      </c>
      <c r="AD300" s="12">
        <v>0.3</v>
      </c>
      <c r="AE300">
        <v>1.24</v>
      </c>
      <c r="AG300">
        <v>0</v>
      </c>
      <c r="AH300">
        <v>6.32</v>
      </c>
      <c r="AI300">
        <v>29.3</v>
      </c>
      <c r="AL300">
        <v>0.24399999999999999</v>
      </c>
      <c r="AM300">
        <v>8.5890000000000004</v>
      </c>
      <c r="AN300">
        <v>1.8879999999999999</v>
      </c>
      <c r="AO300">
        <v>115.30800000000001</v>
      </c>
    </row>
    <row r="301" spans="1:41" x14ac:dyDescent="0.2">
      <c r="A301">
        <v>2023</v>
      </c>
      <c r="B301">
        <v>104536</v>
      </c>
      <c r="C301">
        <v>274</v>
      </c>
      <c r="D301" t="s">
        <v>1213</v>
      </c>
      <c r="E301" t="s">
        <v>42</v>
      </c>
      <c r="F301">
        <v>221210</v>
      </c>
      <c r="G301" t="s">
        <v>341</v>
      </c>
      <c r="H301" t="s">
        <v>1214</v>
      </c>
      <c r="I301" t="s">
        <v>198</v>
      </c>
      <c r="J301" t="s">
        <v>46</v>
      </c>
      <c r="K301">
        <v>93516</v>
      </c>
      <c r="L301">
        <v>35.034999999999997</v>
      </c>
      <c r="M301">
        <v>-117.712</v>
      </c>
      <c r="N301" t="s">
        <v>957</v>
      </c>
      <c r="O301" t="s">
        <v>167</v>
      </c>
      <c r="P301" t="s">
        <v>49</v>
      </c>
      <c r="Q301" t="s">
        <v>50</v>
      </c>
      <c r="R301" t="s">
        <v>51</v>
      </c>
      <c r="S301" s="1">
        <v>20378</v>
      </c>
      <c r="T301" s="1">
        <v>20378</v>
      </c>
      <c r="U301">
        <v>0</v>
      </c>
      <c r="V301" s="1">
        <v>20357</v>
      </c>
      <c r="W301">
        <v>0.38</v>
      </c>
      <c r="X301">
        <v>0.04</v>
      </c>
      <c r="Y301" s="12">
        <v>20378</v>
      </c>
      <c r="Z301" s="12">
        <v>3</v>
      </c>
      <c r="AA301" s="12">
        <v>0.1</v>
      </c>
      <c r="AB301" s="12">
        <v>0.5</v>
      </c>
      <c r="AC301" s="12">
        <v>1.2</v>
      </c>
      <c r="AD301" s="12">
        <v>1.2</v>
      </c>
    </row>
    <row r="302" spans="1:41" x14ac:dyDescent="0.2">
      <c r="A302">
        <v>2023</v>
      </c>
      <c r="B302">
        <v>104538</v>
      </c>
      <c r="C302">
        <v>2352</v>
      </c>
      <c r="D302" t="s">
        <v>1215</v>
      </c>
      <c r="E302" t="s">
        <v>250</v>
      </c>
      <c r="F302">
        <v>211111</v>
      </c>
      <c r="G302" t="s">
        <v>256</v>
      </c>
      <c r="H302" t="s">
        <v>1216</v>
      </c>
      <c r="I302" t="s">
        <v>253</v>
      </c>
      <c r="J302" t="s">
        <v>46</v>
      </c>
      <c r="K302">
        <v>93263</v>
      </c>
      <c r="L302">
        <v>35.457000000000001</v>
      </c>
      <c r="M302">
        <v>-119.244</v>
      </c>
      <c r="N302" t="s">
        <v>1217</v>
      </c>
      <c r="O302" t="s">
        <v>193</v>
      </c>
      <c r="P302" t="s">
        <v>194</v>
      </c>
      <c r="Q302" t="s">
        <v>195</v>
      </c>
      <c r="R302" t="s">
        <v>75</v>
      </c>
      <c r="S302" s="1">
        <v>11436</v>
      </c>
      <c r="T302" s="1">
        <v>11436</v>
      </c>
      <c r="U302">
        <v>0</v>
      </c>
      <c r="V302" s="1">
        <v>10832</v>
      </c>
      <c r="W302">
        <v>23.86</v>
      </c>
      <c r="X302">
        <v>0.03</v>
      </c>
      <c r="Y302" s="12">
        <v>0</v>
      </c>
      <c r="Z302" s="12">
        <v>1.5</v>
      </c>
      <c r="AA302" s="12">
        <v>2.4</v>
      </c>
      <c r="AB302" s="12">
        <v>0.5</v>
      </c>
      <c r="AC302" s="12">
        <v>4.4000000000000004</v>
      </c>
      <c r="AD302" s="12">
        <v>4.4000000000000004</v>
      </c>
      <c r="AE302">
        <v>313.96800000000002</v>
      </c>
      <c r="AF302">
        <v>126</v>
      </c>
      <c r="AI302" s="2">
        <v>3958.13</v>
      </c>
      <c r="AK302">
        <v>23.7</v>
      </c>
      <c r="AM302">
        <v>48.957000000000001</v>
      </c>
      <c r="AN302">
        <v>35.152999999999999</v>
      </c>
      <c r="AO302">
        <v>518.85299999999995</v>
      </c>
    </row>
    <row r="303" spans="1:41" x14ac:dyDescent="0.2">
      <c r="A303">
        <v>2023</v>
      </c>
      <c r="B303">
        <v>104541</v>
      </c>
      <c r="C303">
        <v>1910</v>
      </c>
      <c r="D303" t="s">
        <v>1218</v>
      </c>
      <c r="E303" t="s">
        <v>42</v>
      </c>
      <c r="F303">
        <v>311511</v>
      </c>
      <c r="G303" t="s">
        <v>1023</v>
      </c>
      <c r="H303" t="s">
        <v>1219</v>
      </c>
      <c r="I303" t="s">
        <v>333</v>
      </c>
      <c r="J303" t="s">
        <v>46</v>
      </c>
      <c r="K303">
        <v>95351</v>
      </c>
      <c r="L303">
        <v>37.646999999999998</v>
      </c>
      <c r="M303">
        <v>-121.01300000000001</v>
      </c>
      <c r="N303" t="s">
        <v>1220</v>
      </c>
      <c r="O303" t="s">
        <v>335</v>
      </c>
      <c r="P303" t="s">
        <v>194</v>
      </c>
      <c r="Q303" t="s">
        <v>195</v>
      </c>
      <c r="R303" t="s">
        <v>75</v>
      </c>
      <c r="S303" s="1">
        <v>17499</v>
      </c>
      <c r="T303" s="1">
        <v>17499</v>
      </c>
      <c r="U303">
        <v>0</v>
      </c>
      <c r="V303" s="1">
        <v>17481</v>
      </c>
      <c r="W303">
        <v>0.33</v>
      </c>
      <c r="X303">
        <v>0.03</v>
      </c>
      <c r="Y303" s="12">
        <v>0</v>
      </c>
      <c r="Z303" s="12">
        <v>1.6</v>
      </c>
      <c r="AA303" s="12">
        <v>1.9</v>
      </c>
      <c r="AB303" s="12">
        <v>0.7</v>
      </c>
      <c r="AC303" s="12">
        <v>6.5</v>
      </c>
      <c r="AD303" s="12">
        <v>3</v>
      </c>
    </row>
    <row r="304" spans="1:41" x14ac:dyDescent="0.2">
      <c r="A304">
        <v>2023</v>
      </c>
      <c r="B304">
        <v>104547</v>
      </c>
      <c r="C304">
        <v>92013</v>
      </c>
      <c r="D304" t="s">
        <v>1221</v>
      </c>
      <c r="E304" t="s">
        <v>42</v>
      </c>
      <c r="F304">
        <v>221320</v>
      </c>
      <c r="G304" t="s">
        <v>122</v>
      </c>
      <c r="H304" t="s">
        <v>1222</v>
      </c>
      <c r="I304" t="s">
        <v>126</v>
      </c>
      <c r="J304" t="s">
        <v>46</v>
      </c>
      <c r="K304">
        <v>92121</v>
      </c>
      <c r="L304">
        <v>32.878</v>
      </c>
      <c r="M304">
        <v>-117.19799999999999</v>
      </c>
      <c r="N304" t="s">
        <v>1223</v>
      </c>
      <c r="O304" t="s">
        <v>126</v>
      </c>
      <c r="P304" t="s">
        <v>127</v>
      </c>
      <c r="Q304" t="s">
        <v>126</v>
      </c>
      <c r="R304" t="s">
        <v>75</v>
      </c>
      <c r="S304">
        <v>72</v>
      </c>
      <c r="T304">
        <v>72</v>
      </c>
      <c r="U304">
        <v>0</v>
      </c>
      <c r="V304">
        <v>72</v>
      </c>
      <c r="W304">
        <v>0</v>
      </c>
      <c r="X304">
        <v>0</v>
      </c>
      <c r="Y304" s="12">
        <v>0</v>
      </c>
      <c r="Z304" s="12">
        <v>0.8</v>
      </c>
      <c r="AA304" s="12">
        <v>0</v>
      </c>
      <c r="AB304" s="12">
        <v>0</v>
      </c>
      <c r="AC304" s="12">
        <v>0</v>
      </c>
      <c r="AD304" s="12">
        <v>0</v>
      </c>
      <c r="AE304">
        <v>4.2300000000000004</v>
      </c>
      <c r="AF304">
        <v>8.9999999999999993E-3</v>
      </c>
      <c r="AG304">
        <v>0</v>
      </c>
      <c r="AH304">
        <v>0.20300000000000001</v>
      </c>
      <c r="AI304">
        <v>11</v>
      </c>
      <c r="AJ304">
        <v>8.0000000000000002E-3</v>
      </c>
      <c r="AK304">
        <v>40.700000000000003</v>
      </c>
      <c r="AL304">
        <v>0</v>
      </c>
      <c r="AM304">
        <v>0.49199999999999999</v>
      </c>
      <c r="AN304">
        <v>4.6520000000000001</v>
      </c>
      <c r="AO304">
        <v>33.155000000000001</v>
      </c>
    </row>
    <row r="305" spans="1:41" x14ac:dyDescent="0.2">
      <c r="A305">
        <v>2023</v>
      </c>
      <c r="B305">
        <v>104548</v>
      </c>
      <c r="C305">
        <v>3591</v>
      </c>
      <c r="D305" t="s">
        <v>1224</v>
      </c>
      <c r="E305" t="s">
        <v>42</v>
      </c>
      <c r="F305">
        <v>311615</v>
      </c>
      <c r="G305" t="s">
        <v>683</v>
      </c>
      <c r="H305" t="s">
        <v>1225</v>
      </c>
      <c r="I305" t="s">
        <v>1226</v>
      </c>
      <c r="J305" t="s">
        <v>46</v>
      </c>
      <c r="K305">
        <v>93257</v>
      </c>
      <c r="L305">
        <v>36.079000000000001</v>
      </c>
      <c r="M305">
        <v>-119.00700000000001</v>
      </c>
      <c r="N305" t="s">
        <v>1227</v>
      </c>
      <c r="O305" t="s">
        <v>392</v>
      </c>
      <c r="P305" t="s">
        <v>194</v>
      </c>
      <c r="Q305" t="s">
        <v>195</v>
      </c>
      <c r="R305" t="s">
        <v>75</v>
      </c>
      <c r="S305" s="1">
        <v>9972</v>
      </c>
      <c r="T305" s="1">
        <v>9972</v>
      </c>
      <c r="U305">
        <v>0</v>
      </c>
      <c r="V305" s="1">
        <v>9962</v>
      </c>
      <c r="W305">
        <v>0.19</v>
      </c>
      <c r="X305">
        <v>0.02</v>
      </c>
      <c r="Y305" s="12">
        <v>0</v>
      </c>
      <c r="Z305" s="12">
        <v>0.3</v>
      </c>
      <c r="AA305" s="12">
        <v>1.4</v>
      </c>
      <c r="AB305" s="12">
        <v>0.1</v>
      </c>
      <c r="AC305" s="12">
        <v>0.6</v>
      </c>
      <c r="AD305" s="12">
        <v>0.4</v>
      </c>
      <c r="AE305">
        <v>0.40300000000000002</v>
      </c>
      <c r="AH305">
        <v>123</v>
      </c>
      <c r="AI305">
        <v>0.85399999999999998</v>
      </c>
      <c r="AM305">
        <v>1.7999999999999999E-2</v>
      </c>
      <c r="AN305">
        <v>0.436</v>
      </c>
      <c r="AO305">
        <v>285.20499999999998</v>
      </c>
    </row>
    <row r="306" spans="1:41" x14ac:dyDescent="0.2">
      <c r="A306">
        <v>2023</v>
      </c>
      <c r="B306">
        <v>104559</v>
      </c>
      <c r="C306">
        <v>5293</v>
      </c>
      <c r="D306" t="s">
        <v>1228</v>
      </c>
      <c r="E306" t="s">
        <v>42</v>
      </c>
      <c r="F306">
        <v>325412</v>
      </c>
      <c r="G306" t="s">
        <v>241</v>
      </c>
      <c r="H306" t="s">
        <v>1229</v>
      </c>
      <c r="I306" t="s">
        <v>1230</v>
      </c>
      <c r="J306" t="s">
        <v>46</v>
      </c>
      <c r="K306">
        <v>95688</v>
      </c>
      <c r="L306">
        <v>38.390999999999998</v>
      </c>
      <c r="M306">
        <v>-121.94799999999999</v>
      </c>
      <c r="N306" t="s">
        <v>1231</v>
      </c>
      <c r="O306" t="s">
        <v>239</v>
      </c>
      <c r="P306" t="s">
        <v>210</v>
      </c>
      <c r="Q306" t="s">
        <v>74</v>
      </c>
      <c r="R306" t="s">
        <v>75</v>
      </c>
      <c r="S306" s="1">
        <v>11136</v>
      </c>
      <c r="T306" s="1">
        <v>11136</v>
      </c>
      <c r="U306">
        <v>0</v>
      </c>
      <c r="V306" s="1">
        <v>11125</v>
      </c>
      <c r="W306">
        <v>0.21</v>
      </c>
      <c r="X306">
        <v>0.02</v>
      </c>
      <c r="Y306" s="12">
        <v>0</v>
      </c>
      <c r="Z306" s="12">
        <v>5.4</v>
      </c>
      <c r="AA306" s="12">
        <v>3.2</v>
      </c>
      <c r="AB306" s="12">
        <v>0.1</v>
      </c>
      <c r="AC306" s="12">
        <v>3.7</v>
      </c>
      <c r="AD306" s="12">
        <v>2.6</v>
      </c>
      <c r="AE306">
        <v>0.42399999999999999</v>
      </c>
      <c r="AH306">
        <v>206</v>
      </c>
      <c r="AI306">
        <v>15</v>
      </c>
      <c r="AL306">
        <v>0.41199999999999998</v>
      </c>
      <c r="AM306">
        <v>1.2729999999999999</v>
      </c>
      <c r="AN306">
        <v>36.744</v>
      </c>
      <c r="AO306">
        <v>485.85599999999999</v>
      </c>
    </row>
    <row r="307" spans="1:41" x14ac:dyDescent="0.2">
      <c r="A307">
        <v>2023</v>
      </c>
      <c r="B307">
        <v>104569</v>
      </c>
      <c r="C307">
        <v>20197</v>
      </c>
      <c r="D307" t="s">
        <v>1232</v>
      </c>
      <c r="E307" t="s">
        <v>42</v>
      </c>
      <c r="F307">
        <v>622110</v>
      </c>
      <c r="G307" t="s">
        <v>868</v>
      </c>
      <c r="H307" t="s">
        <v>1233</v>
      </c>
      <c r="I307" t="s">
        <v>48</v>
      </c>
      <c r="J307" t="s">
        <v>46</v>
      </c>
      <c r="K307">
        <v>90033</v>
      </c>
      <c r="L307">
        <v>34.063000000000002</v>
      </c>
      <c r="M307">
        <v>-118.21</v>
      </c>
      <c r="N307" t="s">
        <v>1234</v>
      </c>
      <c r="O307" t="s">
        <v>48</v>
      </c>
      <c r="P307" t="s">
        <v>49</v>
      </c>
      <c r="Q307" t="s">
        <v>50</v>
      </c>
      <c r="R307" t="s">
        <v>51</v>
      </c>
      <c r="S307" s="1">
        <v>27160</v>
      </c>
      <c r="T307" s="1">
        <v>27160</v>
      </c>
      <c r="U307">
        <v>0</v>
      </c>
      <c r="V307" s="1">
        <v>27132</v>
      </c>
      <c r="W307">
        <v>0.51</v>
      </c>
      <c r="X307">
        <v>0.05</v>
      </c>
      <c r="Y307" s="12">
        <v>27160</v>
      </c>
      <c r="Z307" s="12">
        <v>5.4</v>
      </c>
      <c r="AA307" s="12">
        <v>3.8</v>
      </c>
      <c r="AB307" s="12">
        <v>0.2</v>
      </c>
      <c r="AC307" s="12">
        <v>3.4</v>
      </c>
      <c r="AD307" s="12">
        <v>3</v>
      </c>
      <c r="AE307">
        <v>4.04</v>
      </c>
      <c r="AF307">
        <v>1.1000000000000001</v>
      </c>
      <c r="AG307">
        <v>1E-3</v>
      </c>
      <c r="AH307">
        <v>169</v>
      </c>
      <c r="AI307">
        <v>23.7</v>
      </c>
      <c r="AJ307">
        <v>0.94199999999999995</v>
      </c>
      <c r="AL307">
        <v>0.02</v>
      </c>
      <c r="AM307">
        <v>0.31900000000000001</v>
      </c>
      <c r="AN307">
        <v>0.91800000000000004</v>
      </c>
      <c r="AO307">
        <v>397.76600000000002</v>
      </c>
    </row>
    <row r="308" spans="1:41" x14ac:dyDescent="0.2">
      <c r="A308">
        <v>2023</v>
      </c>
      <c r="B308">
        <v>104580</v>
      </c>
      <c r="C308">
        <v>5159</v>
      </c>
      <c r="D308" t="s">
        <v>1235</v>
      </c>
      <c r="E308" t="s">
        <v>42</v>
      </c>
      <c r="F308">
        <v>311511</v>
      </c>
      <c r="G308" t="s">
        <v>1023</v>
      </c>
      <c r="H308" t="s">
        <v>1236</v>
      </c>
      <c r="I308" t="s">
        <v>100</v>
      </c>
      <c r="J308" t="s">
        <v>46</v>
      </c>
      <c r="K308">
        <v>95826</v>
      </c>
      <c r="L308">
        <v>38.536999999999999</v>
      </c>
      <c r="M308">
        <v>-121.39700000000001</v>
      </c>
      <c r="N308" t="s">
        <v>162</v>
      </c>
      <c r="O308" t="s">
        <v>100</v>
      </c>
      <c r="P308" t="s">
        <v>101</v>
      </c>
      <c r="Q308" t="s">
        <v>74</v>
      </c>
      <c r="R308" t="s">
        <v>75</v>
      </c>
      <c r="S308" s="1">
        <v>20722</v>
      </c>
      <c r="T308" s="1">
        <v>20722</v>
      </c>
      <c r="U308">
        <v>0</v>
      </c>
      <c r="V308" s="1">
        <v>20701</v>
      </c>
      <c r="W308">
        <v>0.39</v>
      </c>
      <c r="X308">
        <v>0.04</v>
      </c>
      <c r="Y308" s="12">
        <v>0</v>
      </c>
      <c r="Z308" s="12">
        <v>2.1</v>
      </c>
      <c r="AA308" s="12">
        <v>1.4</v>
      </c>
      <c r="AB308" s="12">
        <v>0.1</v>
      </c>
      <c r="AC308" s="12">
        <v>1.5</v>
      </c>
      <c r="AD308" s="12">
        <v>1.5</v>
      </c>
      <c r="AE308">
        <v>7.36</v>
      </c>
      <c r="AF308">
        <v>7.8E-2</v>
      </c>
      <c r="AH308">
        <v>13.4</v>
      </c>
      <c r="AI308">
        <v>6.25</v>
      </c>
      <c r="AM308">
        <v>0.42899999999999999</v>
      </c>
      <c r="AN308">
        <v>0.434</v>
      </c>
      <c r="AO308">
        <v>34.734999999999999</v>
      </c>
    </row>
    <row r="309" spans="1:41" x14ac:dyDescent="0.2">
      <c r="A309">
        <v>2023</v>
      </c>
      <c r="B309">
        <v>104581</v>
      </c>
      <c r="D309" t="s">
        <v>1237</v>
      </c>
      <c r="E309" t="s">
        <v>250</v>
      </c>
      <c r="F309">
        <v>211111</v>
      </c>
      <c r="G309" t="s">
        <v>256</v>
      </c>
      <c r="H309" t="s">
        <v>1238</v>
      </c>
      <c r="I309" t="s">
        <v>654</v>
      </c>
      <c r="J309" t="s">
        <v>46</v>
      </c>
      <c r="K309">
        <v>93450</v>
      </c>
      <c r="L309">
        <v>36.000999999999998</v>
      </c>
      <c r="M309">
        <v>-120.842</v>
      </c>
      <c r="N309" t="s">
        <v>655</v>
      </c>
      <c r="O309" t="s">
        <v>656</v>
      </c>
      <c r="P309" t="s">
        <v>187</v>
      </c>
      <c r="Q309" t="s">
        <v>188</v>
      </c>
      <c r="R309" t="s">
        <v>51</v>
      </c>
      <c r="S309" s="1">
        <v>20112</v>
      </c>
      <c r="T309" s="1">
        <v>20112</v>
      </c>
      <c r="U309">
        <v>0</v>
      </c>
      <c r="V309" s="1">
        <v>20089</v>
      </c>
      <c r="W309">
        <v>0.46</v>
      </c>
      <c r="X309">
        <v>0.04</v>
      </c>
      <c r="Y309" s="12">
        <v>20109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</row>
    <row r="310" spans="1:41" x14ac:dyDescent="0.2">
      <c r="A310">
        <v>2023</v>
      </c>
      <c r="B310">
        <v>104611</v>
      </c>
      <c r="C310">
        <v>131732</v>
      </c>
      <c r="D310" t="s">
        <v>1239</v>
      </c>
      <c r="E310" t="s">
        <v>42</v>
      </c>
      <c r="F310">
        <v>334413</v>
      </c>
      <c r="G310" t="s">
        <v>138</v>
      </c>
      <c r="H310" t="s">
        <v>1240</v>
      </c>
      <c r="I310" t="s">
        <v>1070</v>
      </c>
      <c r="J310" t="s">
        <v>46</v>
      </c>
      <c r="K310">
        <v>92660</v>
      </c>
      <c r="L310">
        <v>33.662999999999997</v>
      </c>
      <c r="M310">
        <v>-117.86</v>
      </c>
      <c r="N310" t="s">
        <v>957</v>
      </c>
      <c r="O310" t="s">
        <v>167</v>
      </c>
      <c r="P310" t="s">
        <v>49</v>
      </c>
      <c r="Q310" t="s">
        <v>50</v>
      </c>
      <c r="R310" t="s">
        <v>75</v>
      </c>
      <c r="S310" s="1">
        <v>11973</v>
      </c>
      <c r="T310" s="1">
        <v>11973</v>
      </c>
      <c r="U310">
        <v>0</v>
      </c>
      <c r="V310" s="1">
        <v>11961</v>
      </c>
      <c r="W310">
        <v>0.23</v>
      </c>
      <c r="X310">
        <v>0.02</v>
      </c>
      <c r="Y310" s="12">
        <v>0</v>
      </c>
      <c r="Z310" s="12">
        <v>1</v>
      </c>
      <c r="AA310" s="12">
        <v>4.2</v>
      </c>
      <c r="AB310" s="12">
        <v>0.1</v>
      </c>
      <c r="AC310" s="12">
        <v>2.1</v>
      </c>
      <c r="AD310" s="12">
        <v>1.6</v>
      </c>
      <c r="AE310">
        <v>1.63</v>
      </c>
      <c r="AF310">
        <v>0.114</v>
      </c>
      <c r="AG310">
        <v>0</v>
      </c>
      <c r="AH310">
        <v>17.5</v>
      </c>
      <c r="AI310">
        <v>4.16</v>
      </c>
      <c r="AJ310">
        <v>942</v>
      </c>
      <c r="AL310">
        <v>2E-3</v>
      </c>
      <c r="AM310">
        <v>1.9990000000000001</v>
      </c>
      <c r="AN310">
        <v>23.824999999999999</v>
      </c>
      <c r="AO310">
        <v>42.128999999999998</v>
      </c>
    </row>
    <row r="311" spans="1:41" x14ac:dyDescent="0.2">
      <c r="A311">
        <v>2023</v>
      </c>
      <c r="B311">
        <v>104613</v>
      </c>
      <c r="D311" t="s">
        <v>1241</v>
      </c>
      <c r="E311" t="s">
        <v>42</v>
      </c>
      <c r="F311">
        <v>111422</v>
      </c>
      <c r="G311" t="s">
        <v>1242</v>
      </c>
      <c r="H311" t="s">
        <v>1243</v>
      </c>
      <c r="I311" t="s">
        <v>865</v>
      </c>
      <c r="J311" t="s">
        <v>46</v>
      </c>
      <c r="K311">
        <v>93908</v>
      </c>
      <c r="L311">
        <v>36.619999999999997</v>
      </c>
      <c r="M311">
        <v>-121.523</v>
      </c>
      <c r="N311" t="s">
        <v>1244</v>
      </c>
      <c r="O311" t="s">
        <v>656</v>
      </c>
      <c r="P311" t="s">
        <v>187</v>
      </c>
      <c r="Q311" t="s">
        <v>188</v>
      </c>
      <c r="R311" t="s">
        <v>75</v>
      </c>
      <c r="S311" s="1">
        <v>9602</v>
      </c>
      <c r="T311" s="1">
        <v>9602</v>
      </c>
      <c r="U311">
        <v>0</v>
      </c>
      <c r="V311" s="1">
        <v>9592</v>
      </c>
      <c r="W311">
        <v>0.18</v>
      </c>
      <c r="X311">
        <v>0.02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</row>
    <row r="312" spans="1:41" x14ac:dyDescent="0.2">
      <c r="A312">
        <v>2023</v>
      </c>
      <c r="B312">
        <v>104614</v>
      </c>
      <c r="D312" t="s">
        <v>1245</v>
      </c>
      <c r="E312" t="s">
        <v>42</v>
      </c>
      <c r="F312">
        <v>331318</v>
      </c>
      <c r="G312" t="s">
        <v>1246</v>
      </c>
      <c r="H312" t="s">
        <v>1247</v>
      </c>
      <c r="I312" t="s">
        <v>475</v>
      </c>
      <c r="J312" t="s">
        <v>46</v>
      </c>
      <c r="K312">
        <v>92509</v>
      </c>
      <c r="L312">
        <v>34.015000000000001</v>
      </c>
      <c r="M312">
        <v>-117.379</v>
      </c>
      <c r="N312" t="s">
        <v>1248</v>
      </c>
      <c r="O312" t="s">
        <v>475</v>
      </c>
      <c r="P312" t="s">
        <v>49</v>
      </c>
      <c r="Q312" t="s">
        <v>50</v>
      </c>
      <c r="R312" t="s">
        <v>75</v>
      </c>
      <c r="S312" s="1">
        <v>17328</v>
      </c>
      <c r="T312" s="1">
        <v>17328</v>
      </c>
      <c r="U312">
        <v>0</v>
      </c>
      <c r="V312" s="1">
        <v>14682</v>
      </c>
      <c r="W312">
        <v>6.9</v>
      </c>
      <c r="X312">
        <v>8.3000000000000007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</row>
    <row r="313" spans="1:41" x14ac:dyDescent="0.2">
      <c r="A313">
        <v>2023</v>
      </c>
      <c r="B313">
        <v>104615</v>
      </c>
      <c r="C313">
        <v>171</v>
      </c>
      <c r="D313" t="s">
        <v>1249</v>
      </c>
      <c r="E313" t="s">
        <v>42</v>
      </c>
      <c r="F313">
        <v>622110</v>
      </c>
      <c r="G313" t="s">
        <v>868</v>
      </c>
      <c r="H313" t="s">
        <v>1250</v>
      </c>
      <c r="I313" t="s">
        <v>1251</v>
      </c>
      <c r="J313" t="s">
        <v>46</v>
      </c>
      <c r="K313">
        <v>91942</v>
      </c>
      <c r="L313">
        <v>32.780999999999999</v>
      </c>
      <c r="M313">
        <v>-117.006</v>
      </c>
      <c r="N313" t="s">
        <v>1252</v>
      </c>
      <c r="O313" t="s">
        <v>126</v>
      </c>
      <c r="P313" t="s">
        <v>127</v>
      </c>
      <c r="Q313" t="s">
        <v>126</v>
      </c>
      <c r="R313" t="s">
        <v>75</v>
      </c>
      <c r="S313" s="1">
        <v>20746</v>
      </c>
      <c r="T313" s="1">
        <v>20746</v>
      </c>
      <c r="U313">
        <v>0</v>
      </c>
      <c r="V313" s="1">
        <v>20725</v>
      </c>
      <c r="W313">
        <v>0.39</v>
      </c>
      <c r="X313">
        <v>0.04</v>
      </c>
      <c r="Y313" s="12">
        <v>0</v>
      </c>
      <c r="Z313" s="12">
        <v>0.4</v>
      </c>
      <c r="AA313" s="12">
        <v>3.4</v>
      </c>
      <c r="AB313" s="12">
        <v>0.1</v>
      </c>
      <c r="AC313" s="12">
        <v>1.3</v>
      </c>
      <c r="AD313" s="12">
        <v>1.3</v>
      </c>
      <c r="AE313">
        <v>3.92</v>
      </c>
      <c r="AF313">
        <v>0.498</v>
      </c>
      <c r="AG313">
        <v>0</v>
      </c>
      <c r="AH313">
        <v>19.399999999999999</v>
      </c>
      <c r="AI313">
        <v>212</v>
      </c>
      <c r="AJ313">
        <v>0.33100000000000002</v>
      </c>
      <c r="AL313">
        <v>7.0000000000000001E-3</v>
      </c>
      <c r="AM313">
        <v>0.82799999999999996</v>
      </c>
      <c r="AN313">
        <v>0.61199999999999999</v>
      </c>
      <c r="AO313">
        <v>62.914999999999999</v>
      </c>
    </row>
    <row r="314" spans="1:41" x14ac:dyDescent="0.2">
      <c r="A314">
        <v>2023</v>
      </c>
      <c r="B314">
        <v>104616</v>
      </c>
      <c r="C314">
        <v>17953</v>
      </c>
      <c r="D314" t="s">
        <v>1253</v>
      </c>
      <c r="E314" t="s">
        <v>42</v>
      </c>
      <c r="F314">
        <v>327120</v>
      </c>
      <c r="G314" t="s">
        <v>1254</v>
      </c>
      <c r="H314" t="s">
        <v>1255</v>
      </c>
      <c r="I314" t="s">
        <v>1256</v>
      </c>
      <c r="J314" t="s">
        <v>46</v>
      </c>
      <c r="K314">
        <v>92530</v>
      </c>
      <c r="L314">
        <v>33.667000000000002</v>
      </c>
      <c r="M314">
        <v>-117.328</v>
      </c>
      <c r="N314" t="s">
        <v>1257</v>
      </c>
      <c r="O314" t="s">
        <v>475</v>
      </c>
      <c r="P314" t="s">
        <v>49</v>
      </c>
      <c r="Q314" t="s">
        <v>50</v>
      </c>
      <c r="R314" t="s">
        <v>75</v>
      </c>
      <c r="S314" s="1">
        <v>8114</v>
      </c>
      <c r="T314" s="1">
        <v>8114</v>
      </c>
      <c r="U314">
        <v>0</v>
      </c>
      <c r="V314" s="1">
        <v>8106</v>
      </c>
      <c r="W314">
        <v>0.15</v>
      </c>
      <c r="X314">
        <v>0.02</v>
      </c>
      <c r="Y314" s="12">
        <v>0</v>
      </c>
      <c r="Z314" s="12">
        <v>5.2</v>
      </c>
      <c r="AA314" s="12">
        <v>9.6999999999999993</v>
      </c>
      <c r="AB314" s="12">
        <v>0</v>
      </c>
      <c r="AC314" s="12">
        <v>12</v>
      </c>
      <c r="AD314" s="12">
        <v>3.8</v>
      </c>
      <c r="AE314">
        <v>7.67</v>
      </c>
      <c r="AF314">
        <v>4.24</v>
      </c>
      <c r="AG314">
        <v>2E-3</v>
      </c>
      <c r="AH314">
        <v>520</v>
      </c>
      <c r="AI314">
        <v>32.9</v>
      </c>
      <c r="AJ314">
        <v>2.89</v>
      </c>
      <c r="AL314">
        <v>1.73</v>
      </c>
      <c r="AM314">
        <v>2.5640000000000001</v>
      </c>
      <c r="AN314">
        <v>22.244</v>
      </c>
      <c r="AO314" s="2">
        <v>1399.732</v>
      </c>
    </row>
    <row r="315" spans="1:41" x14ac:dyDescent="0.2">
      <c r="A315">
        <v>2023</v>
      </c>
      <c r="B315">
        <v>104617</v>
      </c>
      <c r="C315">
        <v>14966</v>
      </c>
      <c r="D315" t="s">
        <v>1258</v>
      </c>
      <c r="E315" t="s">
        <v>42</v>
      </c>
      <c r="F315">
        <v>621491</v>
      </c>
      <c r="G315" t="s">
        <v>1259</v>
      </c>
      <c r="H315" t="s">
        <v>1260</v>
      </c>
      <c r="I315" t="s">
        <v>48</v>
      </c>
      <c r="J315" t="s">
        <v>46</v>
      </c>
      <c r="K315">
        <v>90073</v>
      </c>
      <c r="L315">
        <v>34.049999999999997</v>
      </c>
      <c r="M315">
        <v>-118.465</v>
      </c>
      <c r="N315" t="s">
        <v>1261</v>
      </c>
      <c r="O315" t="s">
        <v>48</v>
      </c>
      <c r="P315" t="s">
        <v>49</v>
      </c>
      <c r="Q315" t="s">
        <v>50</v>
      </c>
      <c r="R315" t="s">
        <v>75</v>
      </c>
      <c r="S315" s="1">
        <v>11629</v>
      </c>
      <c r="T315" s="1">
        <v>11629</v>
      </c>
      <c r="U315">
        <v>0</v>
      </c>
      <c r="V315" s="1">
        <v>11617</v>
      </c>
      <c r="W315">
        <v>0.22</v>
      </c>
      <c r="X315">
        <v>0.02</v>
      </c>
      <c r="Y315" s="12">
        <v>0</v>
      </c>
      <c r="Z315" s="12">
        <v>0.7</v>
      </c>
      <c r="AA315" s="12">
        <v>1.3</v>
      </c>
      <c r="AB315" s="12">
        <v>0.1</v>
      </c>
      <c r="AC315" s="12">
        <v>1.5</v>
      </c>
      <c r="AD315" s="12">
        <v>1.2</v>
      </c>
      <c r="AE315">
        <v>2.52</v>
      </c>
      <c r="AF315">
        <v>0.69699999999999995</v>
      </c>
      <c r="AG315">
        <v>0</v>
      </c>
      <c r="AH315">
        <v>105</v>
      </c>
      <c r="AI315">
        <v>99.5</v>
      </c>
      <c r="AJ315">
        <v>0.77300000000000002</v>
      </c>
      <c r="AL315">
        <v>1.6E-2</v>
      </c>
      <c r="AM315">
        <v>0.45100000000000001</v>
      </c>
      <c r="AN315">
        <v>0.69799999999999995</v>
      </c>
      <c r="AO315" s="2">
        <v>4542.6040000000003</v>
      </c>
    </row>
    <row r="316" spans="1:41" x14ac:dyDescent="0.2">
      <c r="A316">
        <v>2023</v>
      </c>
      <c r="B316">
        <v>104618</v>
      </c>
      <c r="D316" t="s">
        <v>1262</v>
      </c>
      <c r="E316" t="s">
        <v>42</v>
      </c>
      <c r="F316">
        <v>311511</v>
      </c>
      <c r="G316" t="s">
        <v>1023</v>
      </c>
      <c r="H316" t="s">
        <v>1263</v>
      </c>
      <c r="I316" t="s">
        <v>922</v>
      </c>
      <c r="J316" t="s">
        <v>46</v>
      </c>
      <c r="K316">
        <v>91748</v>
      </c>
      <c r="L316">
        <v>34.005000000000003</v>
      </c>
      <c r="M316">
        <v>-117.90600000000001</v>
      </c>
      <c r="N316" t="s">
        <v>1264</v>
      </c>
      <c r="O316" t="s">
        <v>48</v>
      </c>
      <c r="P316" t="s">
        <v>49</v>
      </c>
      <c r="Q316" t="s">
        <v>50</v>
      </c>
      <c r="R316" t="s">
        <v>75</v>
      </c>
      <c r="S316" s="1">
        <v>17733</v>
      </c>
      <c r="T316" s="1">
        <v>17733</v>
      </c>
      <c r="U316">
        <v>0</v>
      </c>
      <c r="V316" s="1">
        <v>17715</v>
      </c>
      <c r="W316">
        <v>0.33</v>
      </c>
      <c r="X316">
        <v>0.03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</row>
    <row r="317" spans="1:41" x14ac:dyDescent="0.2">
      <c r="A317">
        <v>2023</v>
      </c>
      <c r="B317">
        <v>104620</v>
      </c>
      <c r="C317">
        <v>31</v>
      </c>
      <c r="D317" t="s">
        <v>1265</v>
      </c>
      <c r="E317" t="s">
        <v>42</v>
      </c>
      <c r="F317">
        <v>321212</v>
      </c>
      <c r="G317" t="s">
        <v>745</v>
      </c>
      <c r="H317" t="s">
        <v>1266</v>
      </c>
      <c r="I317" t="s">
        <v>1267</v>
      </c>
      <c r="J317" t="s">
        <v>46</v>
      </c>
      <c r="K317">
        <v>96097</v>
      </c>
      <c r="L317">
        <v>41.731999999999999</v>
      </c>
      <c r="M317">
        <v>-122.59</v>
      </c>
      <c r="N317" t="s">
        <v>1268</v>
      </c>
      <c r="O317" t="s">
        <v>749</v>
      </c>
      <c r="P317" t="s">
        <v>750</v>
      </c>
      <c r="Q317" t="s">
        <v>751</v>
      </c>
      <c r="R317" t="s">
        <v>75</v>
      </c>
      <c r="S317" s="1">
        <v>8953</v>
      </c>
      <c r="T317">
        <v>192</v>
      </c>
      <c r="U317" s="1">
        <v>8761</v>
      </c>
      <c r="V317" s="1">
        <v>8761</v>
      </c>
      <c r="W317">
        <v>2.99</v>
      </c>
      <c r="X317">
        <v>0.39</v>
      </c>
      <c r="Y317" s="12">
        <v>0</v>
      </c>
      <c r="Z317" s="12">
        <v>4.2</v>
      </c>
      <c r="AA317" s="12">
        <v>14.5</v>
      </c>
      <c r="AB317" s="12">
        <v>0.3</v>
      </c>
      <c r="AC317" s="12">
        <v>33.1</v>
      </c>
      <c r="AD317" s="12">
        <v>20.3</v>
      </c>
    </row>
    <row r="318" spans="1:41" x14ac:dyDescent="0.2">
      <c r="A318">
        <v>2023</v>
      </c>
      <c r="B318">
        <v>104621</v>
      </c>
      <c r="C318">
        <v>800016</v>
      </c>
      <c r="D318" t="s">
        <v>1269</v>
      </c>
      <c r="E318" t="s">
        <v>42</v>
      </c>
      <c r="F318">
        <v>311613</v>
      </c>
      <c r="G318" t="s">
        <v>725</v>
      </c>
      <c r="H318" t="s">
        <v>1270</v>
      </c>
      <c r="I318" t="s">
        <v>608</v>
      </c>
      <c r="J318" t="s">
        <v>46</v>
      </c>
      <c r="K318">
        <v>90058</v>
      </c>
      <c r="L318">
        <v>34.003999999999998</v>
      </c>
      <c r="M318">
        <v>-118.193</v>
      </c>
      <c r="N318" t="s">
        <v>609</v>
      </c>
      <c r="O318" t="s">
        <v>48</v>
      </c>
      <c r="P318" t="s">
        <v>49</v>
      </c>
      <c r="Q318" t="s">
        <v>50</v>
      </c>
      <c r="R318" t="s">
        <v>75</v>
      </c>
      <c r="S318" s="1">
        <v>4430</v>
      </c>
      <c r="T318" s="1">
        <v>4430</v>
      </c>
      <c r="U318">
        <v>0</v>
      </c>
      <c r="V318" s="1">
        <v>4426</v>
      </c>
      <c r="W318">
        <v>0.08</v>
      </c>
      <c r="X318">
        <v>0.01</v>
      </c>
      <c r="Y318" s="12">
        <v>0</v>
      </c>
      <c r="Z318" s="12">
        <v>0.4</v>
      </c>
      <c r="AA318" s="12">
        <v>4.2</v>
      </c>
      <c r="AB318" s="12">
        <v>0</v>
      </c>
      <c r="AC318" s="12">
        <v>0.4</v>
      </c>
      <c r="AD318" s="12">
        <v>0.4</v>
      </c>
      <c r="AE318">
        <v>2.85</v>
      </c>
      <c r="AF318">
        <v>0.61899999999999999</v>
      </c>
      <c r="AG318">
        <v>5.0000000000000001E-3</v>
      </c>
      <c r="AH318">
        <v>18.8</v>
      </c>
      <c r="AI318">
        <v>4.0599999999999996</v>
      </c>
      <c r="AJ318">
        <v>0.104</v>
      </c>
      <c r="AL318">
        <v>7.1999999999999995E-2</v>
      </c>
      <c r="AM318">
        <v>0.13500000000000001</v>
      </c>
      <c r="AN318">
        <v>0.253</v>
      </c>
      <c r="AO318">
        <v>51.145000000000003</v>
      </c>
    </row>
    <row r="319" spans="1:41" x14ac:dyDescent="0.2">
      <c r="A319">
        <v>2023</v>
      </c>
      <c r="B319">
        <v>104626</v>
      </c>
      <c r="C319">
        <v>475</v>
      </c>
      <c r="D319" t="s">
        <v>1271</v>
      </c>
      <c r="E319" t="s">
        <v>42</v>
      </c>
      <c r="F319">
        <v>622110</v>
      </c>
      <c r="G319" t="s">
        <v>868</v>
      </c>
      <c r="H319" t="s">
        <v>1272</v>
      </c>
      <c r="I319" t="s">
        <v>105</v>
      </c>
      <c r="J319" t="s">
        <v>46</v>
      </c>
      <c r="K319">
        <v>95128</v>
      </c>
      <c r="L319">
        <v>37.323</v>
      </c>
      <c r="M319">
        <v>-121.934</v>
      </c>
      <c r="N319" t="s">
        <v>1273</v>
      </c>
      <c r="O319" t="s">
        <v>107</v>
      </c>
      <c r="P319" t="s">
        <v>108</v>
      </c>
      <c r="Q319" t="s">
        <v>109</v>
      </c>
      <c r="R319" t="s">
        <v>75</v>
      </c>
      <c r="S319" s="1">
        <v>14849</v>
      </c>
      <c r="T319" s="1">
        <v>14849</v>
      </c>
      <c r="U319">
        <v>0</v>
      </c>
      <c r="V319" s="1">
        <v>14834</v>
      </c>
      <c r="W319">
        <v>0.28000000000000003</v>
      </c>
      <c r="X319">
        <v>0.03</v>
      </c>
      <c r="Y319" s="12">
        <v>0</v>
      </c>
      <c r="Z319" s="12">
        <v>1.5</v>
      </c>
      <c r="AA319" s="12">
        <v>8.8000000000000007</v>
      </c>
      <c r="AB319" s="12">
        <v>0.1</v>
      </c>
      <c r="AC319" s="12">
        <v>0.9</v>
      </c>
      <c r="AD319" s="12">
        <v>0.9</v>
      </c>
      <c r="AE319">
        <v>2.21</v>
      </c>
      <c r="AG319">
        <v>0</v>
      </c>
      <c r="AH319">
        <v>22.9</v>
      </c>
      <c r="AI319">
        <v>61.1</v>
      </c>
      <c r="AL319">
        <v>0.57999999999999996</v>
      </c>
      <c r="AM319">
        <v>0.82499999999999996</v>
      </c>
      <c r="AN319">
        <v>1.343</v>
      </c>
      <c r="AO319">
        <v>68.781000000000006</v>
      </c>
    </row>
    <row r="320" spans="1:41" x14ac:dyDescent="0.2">
      <c r="A320">
        <v>2023</v>
      </c>
      <c r="B320">
        <v>104629</v>
      </c>
      <c r="C320">
        <v>628</v>
      </c>
      <c r="D320" t="s">
        <v>1274</v>
      </c>
      <c r="E320" t="s">
        <v>42</v>
      </c>
      <c r="F320">
        <v>312130</v>
      </c>
      <c r="G320" t="s">
        <v>301</v>
      </c>
      <c r="H320" t="s">
        <v>1275</v>
      </c>
      <c r="I320" t="s">
        <v>279</v>
      </c>
      <c r="J320" t="s">
        <v>46</v>
      </c>
      <c r="K320">
        <v>93637</v>
      </c>
      <c r="L320">
        <v>36.930999999999997</v>
      </c>
      <c r="M320">
        <v>-120.11</v>
      </c>
      <c r="N320" t="s">
        <v>534</v>
      </c>
      <c r="O320" t="s">
        <v>279</v>
      </c>
      <c r="P320" t="s">
        <v>194</v>
      </c>
      <c r="Q320" t="s">
        <v>195</v>
      </c>
      <c r="R320" t="s">
        <v>75</v>
      </c>
      <c r="S320" s="1">
        <v>5899</v>
      </c>
      <c r="T320" s="1">
        <v>5899</v>
      </c>
      <c r="U320">
        <v>0</v>
      </c>
      <c r="V320" s="1">
        <v>5893</v>
      </c>
      <c r="W320">
        <v>0.12</v>
      </c>
      <c r="X320">
        <v>0.01</v>
      </c>
      <c r="Y320" s="12">
        <v>0</v>
      </c>
      <c r="Z320" s="12">
        <v>2.7</v>
      </c>
      <c r="AA320" s="12">
        <v>0.4</v>
      </c>
      <c r="AB320" s="12">
        <v>0.2</v>
      </c>
      <c r="AC320" s="12">
        <v>0.4</v>
      </c>
      <c r="AD320" s="12">
        <v>0.4</v>
      </c>
      <c r="AE320">
        <v>0.67300000000000004</v>
      </c>
      <c r="AF320">
        <v>1.6E-2</v>
      </c>
      <c r="AG320">
        <v>0</v>
      </c>
      <c r="AH320">
        <v>10.1</v>
      </c>
      <c r="AI320">
        <v>1.83</v>
      </c>
      <c r="AK320">
        <v>2.2999999999999998</v>
      </c>
      <c r="AL320">
        <v>1E-3</v>
      </c>
      <c r="AM320">
        <v>4.4999999999999998E-2</v>
      </c>
      <c r="AN320">
        <v>6.5000000000000002E-2</v>
      </c>
      <c r="AO320">
        <v>23.643999999999998</v>
      </c>
    </row>
    <row r="321" spans="1:41" x14ac:dyDescent="0.2">
      <c r="A321">
        <v>2023</v>
      </c>
      <c r="B321">
        <v>104632</v>
      </c>
      <c r="C321">
        <v>154</v>
      </c>
      <c r="D321" t="s">
        <v>1276</v>
      </c>
      <c r="E321" t="s">
        <v>42</v>
      </c>
      <c r="F321">
        <v>311613</v>
      </c>
      <c r="G321" t="s">
        <v>725</v>
      </c>
      <c r="H321" t="s">
        <v>1277</v>
      </c>
      <c r="I321" t="s">
        <v>100</v>
      </c>
      <c r="J321" t="s">
        <v>46</v>
      </c>
      <c r="K321">
        <v>95830</v>
      </c>
      <c r="L321">
        <v>38.526000000000003</v>
      </c>
      <c r="M321">
        <v>-121.253</v>
      </c>
      <c r="N321" t="s">
        <v>1278</v>
      </c>
      <c r="O321" t="s">
        <v>100</v>
      </c>
      <c r="P321" t="s">
        <v>101</v>
      </c>
      <c r="Q321" t="s">
        <v>74</v>
      </c>
      <c r="R321" t="s">
        <v>75</v>
      </c>
      <c r="S321" s="1">
        <v>12096</v>
      </c>
      <c r="T321" s="1">
        <v>12096</v>
      </c>
      <c r="U321">
        <v>0</v>
      </c>
      <c r="V321" s="1">
        <v>12084</v>
      </c>
      <c r="W321">
        <v>0.23</v>
      </c>
      <c r="X321">
        <v>0.02</v>
      </c>
      <c r="Y321" s="12">
        <v>0</v>
      </c>
      <c r="Z321" s="12">
        <v>3.4</v>
      </c>
      <c r="AA321" s="12">
        <v>3.1</v>
      </c>
      <c r="AB321" s="12">
        <v>0.8</v>
      </c>
      <c r="AC321" s="12">
        <v>4.7</v>
      </c>
      <c r="AD321" s="12">
        <v>1.9</v>
      </c>
      <c r="AE321">
        <v>1.66</v>
      </c>
      <c r="AG321">
        <v>0.127</v>
      </c>
      <c r="AI321">
        <v>2.77</v>
      </c>
      <c r="AJ321">
        <v>576</v>
      </c>
      <c r="AL321">
        <v>0.38200000000000001</v>
      </c>
      <c r="AM321">
        <v>10.000999999999999</v>
      </c>
      <c r="AN321">
        <v>20.678999999999998</v>
      </c>
      <c r="AO321">
        <v>162.29499999999999</v>
      </c>
    </row>
    <row r="322" spans="1:41" x14ac:dyDescent="0.2">
      <c r="A322">
        <v>2023</v>
      </c>
      <c r="B322">
        <v>104633</v>
      </c>
      <c r="C322">
        <v>3029</v>
      </c>
      <c r="D322" t="s">
        <v>1279</v>
      </c>
      <c r="E322" t="s">
        <v>42</v>
      </c>
      <c r="F322">
        <v>313310</v>
      </c>
      <c r="G322" t="s">
        <v>1280</v>
      </c>
      <c r="H322" t="s">
        <v>1281</v>
      </c>
      <c r="I322" t="s">
        <v>48</v>
      </c>
      <c r="J322" t="s">
        <v>46</v>
      </c>
      <c r="K322">
        <v>90007</v>
      </c>
      <c r="L322">
        <v>34.015000000000001</v>
      </c>
      <c r="M322">
        <v>-118.276</v>
      </c>
      <c r="N322" t="s">
        <v>1282</v>
      </c>
      <c r="O322" t="s">
        <v>48</v>
      </c>
      <c r="P322" t="s">
        <v>49</v>
      </c>
      <c r="Q322" t="s">
        <v>50</v>
      </c>
      <c r="R322" t="s">
        <v>51</v>
      </c>
      <c r="S322" s="1">
        <v>21190</v>
      </c>
      <c r="T322" s="1">
        <v>21190</v>
      </c>
      <c r="U322">
        <v>0</v>
      </c>
      <c r="V322" s="1">
        <v>21168</v>
      </c>
      <c r="W322">
        <v>0.4</v>
      </c>
      <c r="X322">
        <v>0.04</v>
      </c>
      <c r="Y322" s="12">
        <v>21190</v>
      </c>
      <c r="Z322" s="12">
        <v>3.9</v>
      </c>
      <c r="AA322" s="12">
        <v>4.5999999999999996</v>
      </c>
      <c r="AB322" s="12">
        <v>0.1</v>
      </c>
      <c r="AC322" s="12">
        <v>1.5</v>
      </c>
      <c r="AD322" s="12">
        <v>1.5</v>
      </c>
      <c r="AE322">
        <v>2.71</v>
      </c>
      <c r="AI322">
        <v>5.76</v>
      </c>
      <c r="AM322">
        <v>0.374</v>
      </c>
      <c r="AN322">
        <v>0.502</v>
      </c>
      <c r="AO322">
        <v>1.333</v>
      </c>
    </row>
    <row r="323" spans="1:41" x14ac:dyDescent="0.2">
      <c r="A323">
        <v>2023</v>
      </c>
      <c r="B323">
        <v>104635</v>
      </c>
      <c r="D323" t="s">
        <v>1283</v>
      </c>
      <c r="E323" t="s">
        <v>42</v>
      </c>
      <c r="F323">
        <v>611310</v>
      </c>
      <c r="G323" t="s">
        <v>103</v>
      </c>
      <c r="H323" t="s">
        <v>1284</v>
      </c>
      <c r="I323" t="s">
        <v>1285</v>
      </c>
      <c r="J323" t="s">
        <v>46</v>
      </c>
      <c r="K323">
        <v>94304</v>
      </c>
      <c r="L323">
        <v>37.427999999999997</v>
      </c>
      <c r="M323">
        <v>-122.17</v>
      </c>
      <c r="N323" t="s">
        <v>1286</v>
      </c>
      <c r="O323" t="s">
        <v>107</v>
      </c>
      <c r="P323" t="s">
        <v>108</v>
      </c>
      <c r="Q323" t="s">
        <v>109</v>
      </c>
      <c r="R323" t="s">
        <v>51</v>
      </c>
      <c r="S323" s="1">
        <v>30440</v>
      </c>
      <c r="T323" s="1">
        <v>30440</v>
      </c>
      <c r="U323">
        <v>0</v>
      </c>
      <c r="V323" s="1">
        <v>30408</v>
      </c>
      <c r="W323">
        <v>0.56999999999999995</v>
      </c>
      <c r="X323">
        <v>0.06</v>
      </c>
      <c r="Y323" s="12">
        <v>30421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</row>
    <row r="324" spans="1:41" x14ac:dyDescent="0.2">
      <c r="A324">
        <v>2023</v>
      </c>
      <c r="B324">
        <v>104640</v>
      </c>
      <c r="C324">
        <v>1237</v>
      </c>
      <c r="D324" t="s">
        <v>1287</v>
      </c>
      <c r="E324" t="s">
        <v>42</v>
      </c>
      <c r="F324">
        <v>312130</v>
      </c>
      <c r="G324" t="s">
        <v>301</v>
      </c>
      <c r="H324" t="s">
        <v>1288</v>
      </c>
      <c r="I324" t="s">
        <v>518</v>
      </c>
      <c r="J324" t="s">
        <v>46</v>
      </c>
      <c r="K324">
        <v>95334</v>
      </c>
      <c r="L324">
        <v>37.375</v>
      </c>
      <c r="M324">
        <v>-120.81399999999999</v>
      </c>
      <c r="N324" t="s">
        <v>1289</v>
      </c>
      <c r="O324" t="s">
        <v>320</v>
      </c>
      <c r="P324" t="s">
        <v>194</v>
      </c>
      <c r="Q324" t="s">
        <v>195</v>
      </c>
      <c r="R324" t="s">
        <v>75</v>
      </c>
      <c r="S324" s="1">
        <v>21496</v>
      </c>
      <c r="T324" s="1">
        <v>15688</v>
      </c>
      <c r="U324" s="1">
        <v>5807</v>
      </c>
      <c r="V324" s="1">
        <v>21449</v>
      </c>
      <c r="W324">
        <v>0.66</v>
      </c>
      <c r="X324">
        <v>0.1</v>
      </c>
      <c r="Y324" s="12">
        <v>0</v>
      </c>
      <c r="Z324" s="12">
        <v>222.5</v>
      </c>
      <c r="AA324" s="12">
        <v>1.3</v>
      </c>
      <c r="AB324" s="12">
        <v>2.8</v>
      </c>
      <c r="AC324" s="12">
        <v>1.3</v>
      </c>
      <c r="AD324" s="12">
        <v>1.2</v>
      </c>
      <c r="AE324">
        <v>166</v>
      </c>
      <c r="AF324">
        <v>3.65</v>
      </c>
      <c r="AG324">
        <v>0</v>
      </c>
      <c r="AH324">
        <v>0.06</v>
      </c>
      <c r="AI324">
        <v>176</v>
      </c>
      <c r="AK324">
        <v>194</v>
      </c>
      <c r="AL324">
        <v>6.0000000000000001E-3</v>
      </c>
      <c r="AM324">
        <v>2.633</v>
      </c>
      <c r="AN324">
        <v>1.9</v>
      </c>
      <c r="AO324">
        <v>55.585999999999999</v>
      </c>
    </row>
    <row r="325" spans="1:41" x14ac:dyDescent="0.2">
      <c r="A325">
        <v>2023</v>
      </c>
      <c r="B325">
        <v>104642</v>
      </c>
      <c r="C325">
        <v>23194</v>
      </c>
      <c r="D325" t="s">
        <v>1290</v>
      </c>
      <c r="E325" t="s">
        <v>42</v>
      </c>
      <c r="F325">
        <v>622110</v>
      </c>
      <c r="G325" t="s">
        <v>868</v>
      </c>
      <c r="H325" t="s">
        <v>1291</v>
      </c>
      <c r="I325" t="s">
        <v>1292</v>
      </c>
      <c r="J325" t="s">
        <v>46</v>
      </c>
      <c r="K325">
        <v>91010</v>
      </c>
      <c r="L325">
        <v>34.128999999999998</v>
      </c>
      <c r="M325">
        <v>-117.97199999999999</v>
      </c>
      <c r="N325" t="s">
        <v>1293</v>
      </c>
      <c r="O325" t="s">
        <v>48</v>
      </c>
      <c r="P325" t="s">
        <v>49</v>
      </c>
      <c r="Q325" t="s">
        <v>50</v>
      </c>
      <c r="R325" t="s">
        <v>75</v>
      </c>
      <c r="S325" s="1">
        <v>13280</v>
      </c>
      <c r="T325" s="1">
        <v>13280</v>
      </c>
      <c r="U325">
        <v>0</v>
      </c>
      <c r="V325" s="1">
        <v>13266</v>
      </c>
      <c r="W325">
        <v>0.25</v>
      </c>
      <c r="X325">
        <v>0.03</v>
      </c>
      <c r="Y325" s="12">
        <v>0</v>
      </c>
      <c r="Z325" s="12">
        <v>0.1</v>
      </c>
      <c r="AA325" s="12">
        <v>1</v>
      </c>
      <c r="AB325" s="12">
        <v>0</v>
      </c>
      <c r="AC325" s="12">
        <v>0.1</v>
      </c>
      <c r="AD325" s="12">
        <v>0.1</v>
      </c>
      <c r="AE325">
        <v>0.79</v>
      </c>
      <c r="AF325">
        <v>0.92</v>
      </c>
      <c r="AG325">
        <v>0</v>
      </c>
      <c r="AH325">
        <v>136</v>
      </c>
      <c r="AI325">
        <v>7.31</v>
      </c>
      <c r="AJ325">
        <v>0.78800000000000003</v>
      </c>
      <c r="AL325">
        <v>1.7000000000000001E-2</v>
      </c>
      <c r="AM325">
        <v>6.2E-2</v>
      </c>
      <c r="AN325">
        <v>0.54300000000000004</v>
      </c>
      <c r="AO325">
        <v>318.00799999999998</v>
      </c>
    </row>
    <row r="326" spans="1:41" x14ac:dyDescent="0.2">
      <c r="A326">
        <v>2023</v>
      </c>
      <c r="B326">
        <v>104643</v>
      </c>
      <c r="C326">
        <v>1896</v>
      </c>
      <c r="D326" t="s">
        <v>1294</v>
      </c>
      <c r="E326" t="s">
        <v>42</v>
      </c>
      <c r="F326">
        <v>333294</v>
      </c>
      <c r="G326" t="s">
        <v>1295</v>
      </c>
      <c r="H326" t="s">
        <v>1296</v>
      </c>
      <c r="I326" t="s">
        <v>405</v>
      </c>
      <c r="J326" t="s">
        <v>46</v>
      </c>
      <c r="K326">
        <v>93291</v>
      </c>
      <c r="L326">
        <v>36.459000000000003</v>
      </c>
      <c r="M326">
        <v>-119.298</v>
      </c>
      <c r="N326" t="s">
        <v>1297</v>
      </c>
      <c r="O326" t="s">
        <v>392</v>
      </c>
      <c r="P326" t="s">
        <v>194</v>
      </c>
      <c r="Q326" t="s">
        <v>195</v>
      </c>
      <c r="R326" t="s">
        <v>75</v>
      </c>
      <c r="S326" s="1">
        <v>12624</v>
      </c>
      <c r="T326" s="1">
        <v>12624</v>
      </c>
      <c r="U326">
        <v>0</v>
      </c>
      <c r="V326" s="1">
        <v>12611</v>
      </c>
      <c r="W326">
        <v>0.24</v>
      </c>
      <c r="X326">
        <v>0.02</v>
      </c>
      <c r="Y326" s="12">
        <v>0</v>
      </c>
      <c r="Z326" s="12">
        <v>0.4</v>
      </c>
      <c r="AA326" s="12">
        <v>0.7</v>
      </c>
      <c r="AB326" s="12">
        <v>0.3</v>
      </c>
      <c r="AC326" s="12">
        <v>0.9</v>
      </c>
      <c r="AD326" s="12">
        <v>0.9</v>
      </c>
      <c r="AE326">
        <v>1.1399999999999999</v>
      </c>
      <c r="AH326">
        <v>3.88</v>
      </c>
      <c r="AI326">
        <v>2.42</v>
      </c>
      <c r="AM326">
        <v>6.0999999999999999E-2</v>
      </c>
      <c r="AN326">
        <v>6.7000000000000004E-2</v>
      </c>
      <c r="AO326">
        <v>9.5579999999999998</v>
      </c>
    </row>
    <row r="327" spans="1:41" x14ac:dyDescent="0.2">
      <c r="A327">
        <v>2023</v>
      </c>
      <c r="B327">
        <v>104647</v>
      </c>
      <c r="D327" t="s">
        <v>1298</v>
      </c>
      <c r="E327" t="s">
        <v>42</v>
      </c>
      <c r="F327">
        <v>111422</v>
      </c>
      <c r="G327" t="s">
        <v>1242</v>
      </c>
      <c r="H327" t="s">
        <v>1299</v>
      </c>
      <c r="I327" t="s">
        <v>1300</v>
      </c>
      <c r="J327" t="s">
        <v>46</v>
      </c>
      <c r="K327">
        <v>95521</v>
      </c>
      <c r="L327">
        <v>40.893000000000001</v>
      </c>
      <c r="M327">
        <v>-124.10299999999999</v>
      </c>
      <c r="N327" t="s">
        <v>1301</v>
      </c>
      <c r="O327" t="s">
        <v>81</v>
      </c>
      <c r="P327" t="s">
        <v>82</v>
      </c>
      <c r="Q327" t="s">
        <v>83</v>
      </c>
      <c r="R327" t="s">
        <v>75</v>
      </c>
      <c r="S327" s="1">
        <v>7341</v>
      </c>
      <c r="T327" s="1">
        <v>7341</v>
      </c>
      <c r="U327">
        <v>0</v>
      </c>
      <c r="V327" s="1">
        <v>7334</v>
      </c>
      <c r="W327">
        <v>0.14000000000000001</v>
      </c>
      <c r="X327">
        <v>0.01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</row>
    <row r="328" spans="1:41" x14ac:dyDescent="0.2">
      <c r="A328">
        <v>2023</v>
      </c>
      <c r="B328">
        <v>104655</v>
      </c>
      <c r="C328">
        <v>711</v>
      </c>
      <c r="D328" t="s">
        <v>1302</v>
      </c>
      <c r="E328" t="s">
        <v>42</v>
      </c>
      <c r="F328">
        <v>311411</v>
      </c>
      <c r="G328" t="s">
        <v>1303</v>
      </c>
      <c r="H328" t="s">
        <v>1304</v>
      </c>
      <c r="I328" t="s">
        <v>1305</v>
      </c>
      <c r="J328" t="s">
        <v>46</v>
      </c>
      <c r="K328">
        <v>93215</v>
      </c>
      <c r="L328">
        <v>35.780999999999999</v>
      </c>
      <c r="M328">
        <v>-119.191</v>
      </c>
      <c r="N328" t="s">
        <v>1306</v>
      </c>
      <c r="O328" t="s">
        <v>193</v>
      </c>
      <c r="P328" t="s">
        <v>194</v>
      </c>
      <c r="Q328" t="s">
        <v>195</v>
      </c>
      <c r="R328" t="s">
        <v>75</v>
      </c>
      <c r="S328" s="1">
        <v>16220</v>
      </c>
      <c r="T328" s="1">
        <v>16220</v>
      </c>
      <c r="U328">
        <v>0</v>
      </c>
      <c r="V328" s="1">
        <v>16203</v>
      </c>
      <c r="W328">
        <v>0.31</v>
      </c>
      <c r="X328">
        <v>0.03</v>
      </c>
      <c r="Y328" s="12">
        <v>0</v>
      </c>
      <c r="Z328" s="12">
        <v>0.8</v>
      </c>
      <c r="AA328" s="12">
        <v>1.6</v>
      </c>
      <c r="AB328" s="12">
        <v>0.4</v>
      </c>
      <c r="AC328" s="12">
        <v>1.3</v>
      </c>
      <c r="AD328" s="12">
        <v>1.3</v>
      </c>
      <c r="AE328">
        <v>1.8</v>
      </c>
      <c r="AI328">
        <v>12.6</v>
      </c>
      <c r="AK328">
        <v>7.02</v>
      </c>
      <c r="AM328">
        <v>0.13700000000000001</v>
      </c>
      <c r="AN328">
        <v>8.8999999999999996E-2</v>
      </c>
      <c r="AO328">
        <v>1.696</v>
      </c>
    </row>
    <row r="329" spans="1:41" x14ac:dyDescent="0.2">
      <c r="A329">
        <v>2023</v>
      </c>
      <c r="B329">
        <v>104657</v>
      </c>
      <c r="C329">
        <v>214</v>
      </c>
      <c r="D329" t="s">
        <v>1307</v>
      </c>
      <c r="E329" t="s">
        <v>42</v>
      </c>
      <c r="F329">
        <v>922140</v>
      </c>
      <c r="G329" t="s">
        <v>117</v>
      </c>
      <c r="H329" t="s">
        <v>1308</v>
      </c>
      <c r="I329" t="s">
        <v>632</v>
      </c>
      <c r="J329" t="s">
        <v>46</v>
      </c>
      <c r="K329">
        <v>93212</v>
      </c>
      <c r="L329">
        <v>36.06</v>
      </c>
      <c r="M329">
        <v>-119.55</v>
      </c>
      <c r="N329" t="s">
        <v>1309</v>
      </c>
      <c r="O329" t="s">
        <v>418</v>
      </c>
      <c r="P329" t="s">
        <v>194</v>
      </c>
      <c r="Q329" t="s">
        <v>195</v>
      </c>
      <c r="R329" t="s">
        <v>75</v>
      </c>
      <c r="S329" s="1">
        <v>17182</v>
      </c>
      <c r="T329" s="1">
        <v>17182</v>
      </c>
      <c r="U329">
        <v>0</v>
      </c>
      <c r="V329" s="1">
        <v>17164</v>
      </c>
      <c r="W329">
        <v>0.32</v>
      </c>
      <c r="X329">
        <v>0.03</v>
      </c>
      <c r="Y329" s="12">
        <v>0</v>
      </c>
      <c r="Z329" s="12">
        <v>0.6</v>
      </c>
      <c r="AA329" s="12">
        <v>2.1</v>
      </c>
      <c r="AB329" s="12">
        <v>0.4</v>
      </c>
      <c r="AC329" s="12">
        <v>0.2</v>
      </c>
      <c r="AD329" s="12">
        <v>0.1</v>
      </c>
      <c r="AE329">
        <v>1.85</v>
      </c>
      <c r="AH329">
        <v>42.9</v>
      </c>
      <c r="AI329">
        <v>3.15</v>
      </c>
      <c r="AM329">
        <v>7.0000000000000007E-2</v>
      </c>
      <c r="AN329">
        <v>0.19900000000000001</v>
      </c>
      <c r="AO329">
        <v>99.968000000000004</v>
      </c>
    </row>
    <row r="330" spans="1:41" x14ac:dyDescent="0.2">
      <c r="A330">
        <v>2023</v>
      </c>
      <c r="B330">
        <v>104658</v>
      </c>
      <c r="C330">
        <v>104234</v>
      </c>
      <c r="D330" t="s">
        <v>1310</v>
      </c>
      <c r="E330" t="s">
        <v>42</v>
      </c>
      <c r="F330">
        <v>311830</v>
      </c>
      <c r="G330" t="s">
        <v>1311</v>
      </c>
      <c r="H330" t="s">
        <v>1312</v>
      </c>
      <c r="I330" t="s">
        <v>1078</v>
      </c>
      <c r="J330" t="s">
        <v>46</v>
      </c>
      <c r="K330">
        <v>91730</v>
      </c>
      <c r="L330">
        <v>34.094000000000001</v>
      </c>
      <c r="M330">
        <v>-117.553</v>
      </c>
      <c r="N330" t="s">
        <v>1043</v>
      </c>
      <c r="O330" t="s">
        <v>57</v>
      </c>
      <c r="P330" t="s">
        <v>49</v>
      </c>
      <c r="Q330" t="s">
        <v>50</v>
      </c>
      <c r="R330" t="s">
        <v>75</v>
      </c>
      <c r="S330" s="1">
        <v>11224</v>
      </c>
      <c r="T330" s="1">
        <v>11224</v>
      </c>
      <c r="U330">
        <v>0</v>
      </c>
      <c r="V330" s="1">
        <v>11212</v>
      </c>
      <c r="W330">
        <v>0.21</v>
      </c>
      <c r="X330">
        <v>0.02</v>
      </c>
      <c r="Y330" s="12">
        <v>0</v>
      </c>
      <c r="Z330" s="12">
        <v>5.9</v>
      </c>
      <c r="AA330" s="12">
        <v>5.4</v>
      </c>
      <c r="AB330" s="12">
        <v>0.1</v>
      </c>
      <c r="AC330" s="12">
        <v>1.9</v>
      </c>
      <c r="AD330" s="12">
        <v>1.4</v>
      </c>
      <c r="AE330">
        <v>1.66</v>
      </c>
      <c r="AI330">
        <v>3.52</v>
      </c>
      <c r="AM330">
        <v>0.25900000000000001</v>
      </c>
      <c r="AN330">
        <v>0.36299999999999999</v>
      </c>
      <c r="AO330">
        <v>0.78100000000000003</v>
      </c>
    </row>
    <row r="331" spans="1:41" x14ac:dyDescent="0.2">
      <c r="A331">
        <v>2023</v>
      </c>
      <c r="B331">
        <v>104660</v>
      </c>
      <c r="C331">
        <v>16389</v>
      </c>
      <c r="D331" t="s">
        <v>1313</v>
      </c>
      <c r="E331" t="s">
        <v>42</v>
      </c>
      <c r="F331">
        <v>622110</v>
      </c>
      <c r="G331" t="s">
        <v>868</v>
      </c>
      <c r="H331" t="s">
        <v>1314</v>
      </c>
      <c r="I331" t="s">
        <v>48</v>
      </c>
      <c r="J331" t="s">
        <v>46</v>
      </c>
      <c r="K331">
        <v>90048</v>
      </c>
      <c r="L331">
        <v>34.075000000000003</v>
      </c>
      <c r="M331">
        <v>-118.38</v>
      </c>
      <c r="N331" t="s">
        <v>1315</v>
      </c>
      <c r="O331" t="s">
        <v>48</v>
      </c>
      <c r="P331" t="s">
        <v>49</v>
      </c>
      <c r="Q331" t="s">
        <v>50</v>
      </c>
      <c r="R331" t="s">
        <v>75</v>
      </c>
      <c r="S331" s="1">
        <v>17738</v>
      </c>
      <c r="T331" s="1">
        <v>17738</v>
      </c>
      <c r="U331">
        <v>0</v>
      </c>
      <c r="V331" s="1">
        <v>17719</v>
      </c>
      <c r="W331">
        <v>0.33</v>
      </c>
      <c r="X331">
        <v>0.03</v>
      </c>
      <c r="Y331" s="12">
        <v>0</v>
      </c>
      <c r="Z331" s="12">
        <v>1.4</v>
      </c>
      <c r="AA331" s="12">
        <v>7.6</v>
      </c>
      <c r="AB331" s="12">
        <v>0.1</v>
      </c>
      <c r="AC331" s="12">
        <v>1.6</v>
      </c>
      <c r="AD331" s="12">
        <v>1.5</v>
      </c>
      <c r="AE331">
        <v>6.19</v>
      </c>
      <c r="AF331">
        <v>5.01</v>
      </c>
      <c r="AG331">
        <v>2E-3</v>
      </c>
      <c r="AH331">
        <v>413</v>
      </c>
      <c r="AI331">
        <v>96.6</v>
      </c>
      <c r="AJ331">
        <v>4.29</v>
      </c>
      <c r="AL331">
        <v>0.09</v>
      </c>
      <c r="AM331">
        <v>0.76500000000000001</v>
      </c>
      <c r="AN331">
        <v>2.2240000000000002</v>
      </c>
      <c r="AO331">
        <v>979.22299999999996</v>
      </c>
    </row>
    <row r="332" spans="1:41" x14ac:dyDescent="0.2">
      <c r="A332">
        <v>2023</v>
      </c>
      <c r="B332">
        <v>104661</v>
      </c>
      <c r="C332">
        <v>2596</v>
      </c>
      <c r="D332" t="s">
        <v>1316</v>
      </c>
      <c r="E332" t="s">
        <v>42</v>
      </c>
      <c r="F332">
        <v>923140</v>
      </c>
      <c r="G332" t="s">
        <v>1317</v>
      </c>
      <c r="H332" t="s">
        <v>1318</v>
      </c>
      <c r="I332" t="s">
        <v>126</v>
      </c>
      <c r="J332" t="s">
        <v>46</v>
      </c>
      <c r="K332">
        <v>92161</v>
      </c>
      <c r="L332">
        <v>32.875</v>
      </c>
      <c r="M332">
        <v>-117.232</v>
      </c>
      <c r="N332" t="s">
        <v>512</v>
      </c>
      <c r="O332" t="s">
        <v>126</v>
      </c>
      <c r="P332" t="s">
        <v>127</v>
      </c>
      <c r="Q332" t="s">
        <v>126</v>
      </c>
      <c r="R332" t="s">
        <v>75</v>
      </c>
      <c r="S332" s="1">
        <v>18109</v>
      </c>
      <c r="T332" s="1">
        <v>18109</v>
      </c>
      <c r="U332">
        <v>0</v>
      </c>
      <c r="V332" s="1">
        <v>18091</v>
      </c>
      <c r="W332">
        <v>0.34</v>
      </c>
      <c r="X332">
        <v>0.03</v>
      </c>
      <c r="Y332" s="12">
        <v>0</v>
      </c>
      <c r="Z332" s="12">
        <v>0.2</v>
      </c>
      <c r="AA332" s="12">
        <v>3.3</v>
      </c>
      <c r="AB332" s="12">
        <v>0.1</v>
      </c>
      <c r="AC332" s="12">
        <v>1</v>
      </c>
      <c r="AD332" s="12">
        <v>1</v>
      </c>
      <c r="AE332">
        <v>4.09</v>
      </c>
      <c r="AF332">
        <v>0.72499999999999998</v>
      </c>
      <c r="AG332">
        <v>0</v>
      </c>
      <c r="AH332">
        <v>22</v>
      </c>
      <c r="AI332">
        <v>216</v>
      </c>
      <c r="AJ332">
        <v>0.52200000000000002</v>
      </c>
      <c r="AL332">
        <v>1.0999999999999999E-2</v>
      </c>
      <c r="AM332">
        <v>0.85399999999999998</v>
      </c>
      <c r="AN332">
        <v>0.64400000000000002</v>
      </c>
      <c r="AO332">
        <v>70.161000000000001</v>
      </c>
    </row>
    <row r="333" spans="1:41" x14ac:dyDescent="0.2">
      <c r="A333">
        <v>2023</v>
      </c>
      <c r="B333">
        <v>104662</v>
      </c>
      <c r="C333">
        <v>5498</v>
      </c>
      <c r="D333" t="s">
        <v>1319</v>
      </c>
      <c r="E333" t="s">
        <v>42</v>
      </c>
      <c r="F333">
        <v>622210</v>
      </c>
      <c r="G333" t="s">
        <v>1320</v>
      </c>
      <c r="H333" t="s">
        <v>1321</v>
      </c>
      <c r="I333" t="s">
        <v>1230</v>
      </c>
      <c r="J333" t="s">
        <v>46</v>
      </c>
      <c r="K333">
        <v>95687</v>
      </c>
      <c r="L333">
        <v>38.332999999999998</v>
      </c>
      <c r="M333">
        <v>-121.979</v>
      </c>
      <c r="N333" t="s">
        <v>1322</v>
      </c>
      <c r="O333" t="s">
        <v>239</v>
      </c>
      <c r="P333" t="s">
        <v>210</v>
      </c>
      <c r="Q333" t="s">
        <v>74</v>
      </c>
      <c r="R333" t="s">
        <v>75</v>
      </c>
      <c r="S333" s="1">
        <v>14693</v>
      </c>
      <c r="T333" s="1">
        <v>14693</v>
      </c>
      <c r="U333">
        <v>0</v>
      </c>
      <c r="V333" s="1">
        <v>14678</v>
      </c>
      <c r="W333">
        <v>0.28000000000000003</v>
      </c>
      <c r="X333">
        <v>0.03</v>
      </c>
      <c r="Y333" s="12">
        <v>0</v>
      </c>
      <c r="Z333" s="12">
        <v>0.6</v>
      </c>
      <c r="AA333" s="12">
        <v>4.2</v>
      </c>
      <c r="AB333" s="12">
        <v>0.1</v>
      </c>
      <c r="AC333" s="12">
        <v>0.8</v>
      </c>
      <c r="AD333" s="12">
        <v>0.8</v>
      </c>
      <c r="AE333">
        <v>0.753</v>
      </c>
      <c r="AH333">
        <v>97.6</v>
      </c>
      <c r="AI333">
        <v>10</v>
      </c>
      <c r="AL333">
        <v>0.28299999999999997</v>
      </c>
      <c r="AM333">
        <v>0.313</v>
      </c>
      <c r="AN333">
        <v>0.95</v>
      </c>
      <c r="AO333">
        <v>231.74199999999999</v>
      </c>
    </row>
    <row r="334" spans="1:41" x14ac:dyDescent="0.2">
      <c r="A334">
        <v>2023</v>
      </c>
      <c r="B334">
        <v>104663</v>
      </c>
      <c r="C334">
        <v>1634</v>
      </c>
      <c r="D334" t="s">
        <v>1323</v>
      </c>
      <c r="E334" t="s">
        <v>42</v>
      </c>
      <c r="F334">
        <v>622110</v>
      </c>
      <c r="G334" t="s">
        <v>868</v>
      </c>
      <c r="H334" t="s">
        <v>1324</v>
      </c>
      <c r="I334" t="s">
        <v>1325</v>
      </c>
      <c r="J334" t="s">
        <v>46</v>
      </c>
      <c r="K334">
        <v>94558</v>
      </c>
      <c r="L334">
        <v>38.279000000000003</v>
      </c>
      <c r="M334">
        <v>-122.273</v>
      </c>
      <c r="N334" t="s">
        <v>1326</v>
      </c>
      <c r="O334" t="s">
        <v>1325</v>
      </c>
      <c r="P334" t="s">
        <v>108</v>
      </c>
      <c r="Q334" t="s">
        <v>109</v>
      </c>
      <c r="R334" t="s">
        <v>75</v>
      </c>
      <c r="S334" s="1">
        <v>13037</v>
      </c>
      <c r="T334" s="1">
        <v>13037</v>
      </c>
      <c r="U334">
        <v>0</v>
      </c>
      <c r="V334" s="1">
        <v>13024</v>
      </c>
      <c r="W334">
        <v>0.25</v>
      </c>
      <c r="X334">
        <v>0.03</v>
      </c>
      <c r="Y334" s="12">
        <v>0</v>
      </c>
      <c r="Z334" s="12">
        <v>2.9</v>
      </c>
      <c r="AA334" s="12">
        <v>24.1</v>
      </c>
      <c r="AB334" s="12">
        <v>0.1</v>
      </c>
      <c r="AC334" s="12">
        <v>1.2</v>
      </c>
      <c r="AD334" s="12">
        <v>1.2</v>
      </c>
      <c r="AE334">
        <v>12.6</v>
      </c>
      <c r="AF334">
        <v>7.0000000000000001E-3</v>
      </c>
      <c r="AG334">
        <v>2E-3</v>
      </c>
      <c r="AH334">
        <v>8.4700000000000006</v>
      </c>
      <c r="AI334">
        <v>777</v>
      </c>
      <c r="AL334">
        <v>0.29399999999999998</v>
      </c>
      <c r="AM334">
        <v>3.0070000000000001</v>
      </c>
      <c r="AN334">
        <v>2.407</v>
      </c>
      <c r="AO334">
        <v>68.021000000000001</v>
      </c>
    </row>
    <row r="335" spans="1:41" x14ac:dyDescent="0.2">
      <c r="A335">
        <v>2023</v>
      </c>
      <c r="B335">
        <v>104666</v>
      </c>
      <c r="C335">
        <v>82207</v>
      </c>
      <c r="D335" t="s">
        <v>1327</v>
      </c>
      <c r="E335" t="s">
        <v>42</v>
      </c>
      <c r="F335">
        <v>324121</v>
      </c>
      <c r="G335" t="s">
        <v>1007</v>
      </c>
      <c r="H335" t="s">
        <v>1328</v>
      </c>
      <c r="I335" t="s">
        <v>243</v>
      </c>
      <c r="J335" t="s">
        <v>46</v>
      </c>
      <c r="K335">
        <v>92602</v>
      </c>
      <c r="L335">
        <v>33.734000000000002</v>
      </c>
      <c r="M335">
        <v>-117.72499999999999</v>
      </c>
      <c r="N335" t="s">
        <v>1329</v>
      </c>
      <c r="O335" t="s">
        <v>167</v>
      </c>
      <c r="P335" t="s">
        <v>49</v>
      </c>
      <c r="Q335" t="s">
        <v>50</v>
      </c>
      <c r="R335" t="s">
        <v>75</v>
      </c>
      <c r="S335" s="1">
        <v>8428</v>
      </c>
      <c r="T335" s="1">
        <v>8428</v>
      </c>
      <c r="U335">
        <v>0</v>
      </c>
      <c r="V335" s="1">
        <v>8420</v>
      </c>
      <c r="W335">
        <v>0.16</v>
      </c>
      <c r="X335">
        <v>0.02</v>
      </c>
      <c r="Y335" s="12">
        <v>0</v>
      </c>
      <c r="Z335" s="12">
        <v>9.8000000000000007</v>
      </c>
      <c r="AA335" s="12">
        <v>2.4</v>
      </c>
      <c r="AB335" s="12">
        <v>0</v>
      </c>
      <c r="AC335" s="12">
        <v>2.8</v>
      </c>
      <c r="AD335" s="12">
        <v>2.2999999999999998</v>
      </c>
      <c r="AE335">
        <v>381</v>
      </c>
      <c r="AF335">
        <v>160</v>
      </c>
      <c r="AG335">
        <v>7.0000000000000001E-3</v>
      </c>
      <c r="AI335">
        <v>499</v>
      </c>
      <c r="AL335">
        <v>4.6399999999999997</v>
      </c>
      <c r="AM335">
        <v>8.3019999999999996</v>
      </c>
      <c r="AN335">
        <v>42.45</v>
      </c>
      <c r="AO335">
        <v>678.90499999999997</v>
      </c>
    </row>
    <row r="336" spans="1:41" x14ac:dyDescent="0.2">
      <c r="A336">
        <v>2023</v>
      </c>
      <c r="B336">
        <v>104669</v>
      </c>
      <c r="C336">
        <v>10</v>
      </c>
      <c r="D336" t="s">
        <v>1330</v>
      </c>
      <c r="E336" t="s">
        <v>42</v>
      </c>
      <c r="F336">
        <v>322299</v>
      </c>
      <c r="G336" t="s">
        <v>1331</v>
      </c>
      <c r="H336" t="s">
        <v>1332</v>
      </c>
      <c r="I336" t="s">
        <v>1333</v>
      </c>
      <c r="J336" t="s">
        <v>46</v>
      </c>
      <c r="K336">
        <v>96080</v>
      </c>
      <c r="L336">
        <v>40.146999999999998</v>
      </c>
      <c r="M336">
        <v>-122.21</v>
      </c>
      <c r="N336" t="s">
        <v>799</v>
      </c>
      <c r="O336" t="s">
        <v>800</v>
      </c>
      <c r="P336" t="s">
        <v>801</v>
      </c>
      <c r="Q336" t="s">
        <v>74</v>
      </c>
      <c r="R336" t="s">
        <v>75</v>
      </c>
      <c r="S336" s="1">
        <v>11901</v>
      </c>
      <c r="T336" s="1">
        <v>11901</v>
      </c>
      <c r="U336">
        <v>0</v>
      </c>
      <c r="V336" s="1">
        <v>11889</v>
      </c>
      <c r="W336">
        <v>0.22</v>
      </c>
      <c r="X336">
        <v>0.02</v>
      </c>
      <c r="Y336" s="12">
        <v>0</v>
      </c>
      <c r="Z336" s="12">
        <v>0.1</v>
      </c>
      <c r="AA336" s="12">
        <v>1.6</v>
      </c>
      <c r="AB336" s="12">
        <v>0.1</v>
      </c>
      <c r="AC336" s="12">
        <v>0.8</v>
      </c>
      <c r="AD336" s="12">
        <v>0.8</v>
      </c>
      <c r="AE336">
        <v>0.46300000000000002</v>
      </c>
      <c r="AI336">
        <v>16.5</v>
      </c>
      <c r="AM336">
        <v>5.3999999999999999E-2</v>
      </c>
      <c r="AN336">
        <v>3.5000000000000003E-2</v>
      </c>
      <c r="AO336">
        <v>0.92800000000000005</v>
      </c>
    </row>
    <row r="337" spans="1:41" x14ac:dyDescent="0.2">
      <c r="A337">
        <v>2023</v>
      </c>
      <c r="B337">
        <v>104670</v>
      </c>
      <c r="C337">
        <v>10723</v>
      </c>
      <c r="D337" t="s">
        <v>1334</v>
      </c>
      <c r="E337" t="s">
        <v>42</v>
      </c>
      <c r="F337">
        <v>622110</v>
      </c>
      <c r="G337" t="s">
        <v>868</v>
      </c>
      <c r="H337" t="s">
        <v>1335</v>
      </c>
      <c r="I337" t="s">
        <v>524</v>
      </c>
      <c r="J337" t="s">
        <v>46</v>
      </c>
      <c r="K337">
        <v>93105</v>
      </c>
      <c r="L337">
        <v>34.43</v>
      </c>
      <c r="M337">
        <v>-119.723</v>
      </c>
      <c r="N337" t="s">
        <v>1336</v>
      </c>
      <c r="O337" t="s">
        <v>524</v>
      </c>
      <c r="P337" t="s">
        <v>525</v>
      </c>
      <c r="Q337" t="s">
        <v>155</v>
      </c>
      <c r="R337" t="s">
        <v>75</v>
      </c>
      <c r="S337" s="1">
        <v>11279</v>
      </c>
      <c r="T337" s="1">
        <v>11279</v>
      </c>
      <c r="U337">
        <v>0</v>
      </c>
      <c r="V337" s="1">
        <v>11267</v>
      </c>
      <c r="W337">
        <v>0.21</v>
      </c>
      <c r="X337">
        <v>0.02</v>
      </c>
      <c r="Y337" s="12">
        <v>0</v>
      </c>
      <c r="Z337" s="12">
        <v>0.1</v>
      </c>
      <c r="AA337" s="12">
        <v>2.6</v>
      </c>
      <c r="AB337" s="12">
        <v>0.1</v>
      </c>
      <c r="AC337" s="12">
        <v>0.8</v>
      </c>
      <c r="AD337" s="12">
        <v>0.8</v>
      </c>
      <c r="AE337">
        <v>1.1200000000000001</v>
      </c>
      <c r="AF337">
        <v>8.9999999999999993E-3</v>
      </c>
      <c r="AG337">
        <v>0</v>
      </c>
      <c r="AH337">
        <v>120</v>
      </c>
      <c r="AI337">
        <v>2.58</v>
      </c>
      <c r="AJ337">
        <v>0.112</v>
      </c>
      <c r="AL337">
        <v>0.40699999999999997</v>
      </c>
      <c r="AM337">
        <v>0.46600000000000003</v>
      </c>
      <c r="AN337">
        <v>1.2350000000000001</v>
      </c>
      <c r="AO337">
        <v>288.61799999999999</v>
      </c>
    </row>
    <row r="338" spans="1:41" x14ac:dyDescent="0.2">
      <c r="A338">
        <v>2023</v>
      </c>
      <c r="B338">
        <v>104672</v>
      </c>
      <c r="C338">
        <v>616</v>
      </c>
      <c r="D338" t="s">
        <v>1337</v>
      </c>
      <c r="E338" t="s">
        <v>42</v>
      </c>
      <c r="F338">
        <v>311611</v>
      </c>
      <c r="G338" t="s">
        <v>1338</v>
      </c>
      <c r="H338" t="s">
        <v>1339</v>
      </c>
      <c r="I338" t="s">
        <v>1340</v>
      </c>
      <c r="J338" t="s">
        <v>46</v>
      </c>
      <c r="K338">
        <v>93662</v>
      </c>
      <c r="L338">
        <v>36.499000000000002</v>
      </c>
      <c r="M338">
        <v>-119.614</v>
      </c>
      <c r="N338" t="s">
        <v>1341</v>
      </c>
      <c r="O338" t="s">
        <v>303</v>
      </c>
      <c r="P338" t="s">
        <v>194</v>
      </c>
      <c r="Q338" t="s">
        <v>195</v>
      </c>
      <c r="R338" t="s">
        <v>75</v>
      </c>
      <c r="S338" s="1">
        <v>11604</v>
      </c>
      <c r="T338" s="1">
        <v>11604</v>
      </c>
      <c r="U338">
        <v>0</v>
      </c>
      <c r="V338" s="1">
        <v>11592</v>
      </c>
      <c r="W338">
        <v>0.22</v>
      </c>
      <c r="X338">
        <v>0.02</v>
      </c>
      <c r="Y338" s="12">
        <v>0</v>
      </c>
      <c r="Z338" s="12">
        <v>0.3</v>
      </c>
      <c r="AA338" s="12">
        <v>0.4</v>
      </c>
      <c r="AB338" s="12">
        <v>0.2</v>
      </c>
      <c r="AC338" s="12">
        <v>1.1000000000000001</v>
      </c>
      <c r="AD338" s="12">
        <v>0.8</v>
      </c>
      <c r="AE338">
        <v>0.76900000000000002</v>
      </c>
      <c r="AI338">
        <v>1.48</v>
      </c>
      <c r="AK338">
        <v>102</v>
      </c>
      <c r="AM338">
        <v>0.48799999999999999</v>
      </c>
      <c r="AN338">
        <v>0.26400000000000001</v>
      </c>
      <c r="AO338">
        <v>0.379</v>
      </c>
    </row>
    <row r="339" spans="1:41" x14ac:dyDescent="0.2">
      <c r="A339">
        <v>2023</v>
      </c>
      <c r="B339">
        <v>104675</v>
      </c>
      <c r="C339">
        <v>19167</v>
      </c>
      <c r="D339" t="s">
        <v>1342</v>
      </c>
      <c r="E339" t="s">
        <v>42</v>
      </c>
      <c r="F339">
        <v>324121</v>
      </c>
      <c r="G339" t="s">
        <v>1007</v>
      </c>
      <c r="H339" t="s">
        <v>1343</v>
      </c>
      <c r="I339" t="s">
        <v>167</v>
      </c>
      <c r="J339" t="s">
        <v>46</v>
      </c>
      <c r="K339">
        <v>92865</v>
      </c>
      <c r="L339">
        <v>33.835000000000001</v>
      </c>
      <c r="M339">
        <v>-117.861</v>
      </c>
      <c r="N339" t="s">
        <v>1344</v>
      </c>
      <c r="O339" t="s">
        <v>167</v>
      </c>
      <c r="P339" t="s">
        <v>49</v>
      </c>
      <c r="Q339" t="s">
        <v>50</v>
      </c>
      <c r="R339" t="s">
        <v>75</v>
      </c>
      <c r="S339" s="1">
        <v>6485</v>
      </c>
      <c r="T339" s="1">
        <v>6485</v>
      </c>
      <c r="U339">
        <v>0</v>
      </c>
      <c r="V339" s="1">
        <v>6478</v>
      </c>
      <c r="W339">
        <v>0.12</v>
      </c>
      <c r="X339">
        <v>0.01</v>
      </c>
      <c r="Y339" s="12">
        <v>0</v>
      </c>
      <c r="Z339" s="12">
        <v>9.1</v>
      </c>
      <c r="AA339" s="12">
        <v>1.9</v>
      </c>
      <c r="AB339" s="12">
        <v>0</v>
      </c>
      <c r="AC339" s="12">
        <v>15.3</v>
      </c>
      <c r="AD339" s="12">
        <v>10.199999999999999</v>
      </c>
      <c r="AE339">
        <v>284</v>
      </c>
      <c r="AF339">
        <v>0.38200000000000001</v>
      </c>
      <c r="AG339">
        <v>0.373</v>
      </c>
      <c r="AH339">
        <v>16.2</v>
      </c>
      <c r="AI339">
        <v>767</v>
      </c>
      <c r="AJ339">
        <v>0.09</v>
      </c>
      <c r="AK339">
        <v>741</v>
      </c>
      <c r="AL339">
        <v>11.8</v>
      </c>
      <c r="AM339">
        <v>27.061</v>
      </c>
      <c r="AN339">
        <v>68.227000000000004</v>
      </c>
      <c r="AO339" s="2">
        <v>1356.8920000000001</v>
      </c>
    </row>
    <row r="340" spans="1:41" x14ac:dyDescent="0.2">
      <c r="A340">
        <v>2023</v>
      </c>
      <c r="B340">
        <v>104678</v>
      </c>
      <c r="C340">
        <v>713</v>
      </c>
      <c r="D340" t="s">
        <v>1345</v>
      </c>
      <c r="E340" t="s">
        <v>42</v>
      </c>
      <c r="F340">
        <v>311911</v>
      </c>
      <c r="G340" t="s">
        <v>787</v>
      </c>
      <c r="H340" t="s">
        <v>1346</v>
      </c>
      <c r="I340" t="s">
        <v>789</v>
      </c>
      <c r="J340" t="s">
        <v>46</v>
      </c>
      <c r="K340">
        <v>93727</v>
      </c>
      <c r="L340">
        <v>35.770000000000003</v>
      </c>
      <c r="M340">
        <v>-119.871</v>
      </c>
      <c r="N340" t="s">
        <v>790</v>
      </c>
      <c r="O340" t="s">
        <v>193</v>
      </c>
      <c r="P340" t="s">
        <v>194</v>
      </c>
      <c r="Q340" t="s">
        <v>195</v>
      </c>
      <c r="R340" t="s">
        <v>75</v>
      </c>
      <c r="S340" s="1">
        <v>10910</v>
      </c>
      <c r="T340" s="1">
        <v>10910</v>
      </c>
      <c r="U340">
        <v>0</v>
      </c>
      <c r="V340" s="1">
        <v>10899</v>
      </c>
      <c r="W340">
        <v>0.21</v>
      </c>
      <c r="X340">
        <v>0.02</v>
      </c>
      <c r="Y340" s="12">
        <v>0</v>
      </c>
      <c r="Z340" s="12">
        <v>0.5</v>
      </c>
      <c r="AA340" s="12">
        <v>7.6</v>
      </c>
      <c r="AB340" s="12">
        <v>0.3</v>
      </c>
      <c r="AC340" s="12">
        <v>0.9</v>
      </c>
      <c r="AD340" s="12">
        <v>0.8</v>
      </c>
      <c r="AE340">
        <v>0.41099999999999998</v>
      </c>
      <c r="AF340">
        <v>3.0000000000000001E-3</v>
      </c>
      <c r="AI340">
        <v>0.95299999999999996</v>
      </c>
      <c r="AM340">
        <v>0.09</v>
      </c>
      <c r="AN340">
        <v>47.128</v>
      </c>
      <c r="AO340">
        <v>0.32400000000000001</v>
      </c>
    </row>
    <row r="341" spans="1:41" x14ac:dyDescent="0.2">
      <c r="A341">
        <v>2023</v>
      </c>
      <c r="B341">
        <v>104679</v>
      </c>
      <c r="C341">
        <v>8347</v>
      </c>
      <c r="D341" t="s">
        <v>1347</v>
      </c>
      <c r="E341" t="s">
        <v>42</v>
      </c>
      <c r="F341">
        <v>311911</v>
      </c>
      <c r="G341" t="s">
        <v>787</v>
      </c>
      <c r="H341" t="s">
        <v>1348</v>
      </c>
      <c r="I341" t="s">
        <v>624</v>
      </c>
      <c r="J341" t="s">
        <v>46</v>
      </c>
      <c r="K341">
        <v>93622</v>
      </c>
      <c r="L341">
        <v>36.835000000000001</v>
      </c>
      <c r="M341">
        <v>-120.318</v>
      </c>
      <c r="N341" t="s">
        <v>1349</v>
      </c>
      <c r="O341" t="s">
        <v>279</v>
      </c>
      <c r="P341" t="s">
        <v>194</v>
      </c>
      <c r="Q341" t="s">
        <v>195</v>
      </c>
      <c r="R341" t="s">
        <v>75</v>
      </c>
      <c r="S341" s="1">
        <v>16490</v>
      </c>
      <c r="T341" s="1">
        <v>16490</v>
      </c>
      <c r="U341">
        <v>0</v>
      </c>
      <c r="V341" s="1">
        <v>16472</v>
      </c>
      <c r="W341">
        <v>0.31</v>
      </c>
      <c r="X341">
        <v>0.03</v>
      </c>
      <c r="Y341" s="12">
        <v>0</v>
      </c>
      <c r="Z341" s="12">
        <v>0.7</v>
      </c>
      <c r="AA341" s="12">
        <v>14.3</v>
      </c>
      <c r="AB341" s="12">
        <v>0.5</v>
      </c>
      <c r="AC341" s="12">
        <v>0.7</v>
      </c>
      <c r="AD341" s="12">
        <v>0.4</v>
      </c>
      <c r="AH341">
        <v>0.57299999999999995</v>
      </c>
      <c r="AM341">
        <v>8.2000000000000003E-2</v>
      </c>
      <c r="AN341">
        <v>54.334000000000003</v>
      </c>
      <c r="AO341">
        <v>1.32</v>
      </c>
    </row>
    <row r="342" spans="1:41" x14ac:dyDescent="0.2">
      <c r="A342">
        <v>2023</v>
      </c>
      <c r="B342">
        <v>104690</v>
      </c>
      <c r="D342" t="s">
        <v>1350</v>
      </c>
      <c r="E342" t="s">
        <v>42</v>
      </c>
      <c r="F342">
        <v>311111</v>
      </c>
      <c r="G342" t="s">
        <v>1175</v>
      </c>
      <c r="H342" t="s">
        <v>1351</v>
      </c>
      <c r="I342" t="s">
        <v>1352</v>
      </c>
      <c r="J342" t="s">
        <v>46</v>
      </c>
      <c r="K342">
        <v>95366</v>
      </c>
      <c r="L342">
        <v>37.731999999999999</v>
      </c>
      <c r="M342">
        <v>-121.11799999999999</v>
      </c>
      <c r="N342" t="s">
        <v>1353</v>
      </c>
      <c r="O342" t="s">
        <v>388</v>
      </c>
      <c r="P342" t="s">
        <v>194</v>
      </c>
      <c r="Q342" t="s">
        <v>195</v>
      </c>
      <c r="R342" t="s">
        <v>75</v>
      </c>
      <c r="S342" s="1">
        <v>20184</v>
      </c>
      <c r="T342" s="1">
        <v>20184</v>
      </c>
      <c r="U342">
        <v>0</v>
      </c>
      <c r="V342" s="1">
        <v>20163</v>
      </c>
      <c r="W342">
        <v>0.38</v>
      </c>
      <c r="X342">
        <v>0.04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</row>
    <row r="343" spans="1:41" x14ac:dyDescent="0.2">
      <c r="A343">
        <v>2023</v>
      </c>
      <c r="B343">
        <v>104691</v>
      </c>
      <c r="C343">
        <v>800149</v>
      </c>
      <c r="D343" t="s">
        <v>1354</v>
      </c>
      <c r="E343" t="s">
        <v>42</v>
      </c>
      <c r="F343">
        <v>325180</v>
      </c>
      <c r="G343" t="s">
        <v>1160</v>
      </c>
      <c r="H343" t="s">
        <v>1355</v>
      </c>
      <c r="I343" t="s">
        <v>45</v>
      </c>
      <c r="J343" t="s">
        <v>46</v>
      </c>
      <c r="K343">
        <v>90744</v>
      </c>
      <c r="L343">
        <v>33.756999999999998</v>
      </c>
      <c r="M343">
        <v>-118.267</v>
      </c>
      <c r="N343" t="s">
        <v>1356</v>
      </c>
      <c r="O343" t="s">
        <v>48</v>
      </c>
      <c r="P343" t="s">
        <v>49</v>
      </c>
      <c r="Q343" t="s">
        <v>50</v>
      </c>
      <c r="R343" t="s">
        <v>75</v>
      </c>
      <c r="S343" s="1">
        <v>8717</v>
      </c>
      <c r="T343" s="1">
        <v>8717</v>
      </c>
      <c r="U343">
        <v>0</v>
      </c>
      <c r="V343" s="1">
        <v>8708</v>
      </c>
      <c r="W343">
        <v>0.16</v>
      </c>
      <c r="X343">
        <v>0.02</v>
      </c>
      <c r="Y343" s="12">
        <v>0</v>
      </c>
      <c r="Z343" s="12">
        <v>0.6</v>
      </c>
      <c r="AA343" s="12">
        <v>1.6</v>
      </c>
      <c r="AB343" s="12">
        <v>0</v>
      </c>
      <c r="AC343" s="12">
        <v>7.7</v>
      </c>
      <c r="AD343" s="12">
        <v>7.5</v>
      </c>
      <c r="AE343">
        <v>0.95099999999999996</v>
      </c>
      <c r="AG343">
        <v>1E-3</v>
      </c>
      <c r="AI343">
        <v>2.02</v>
      </c>
      <c r="AL343">
        <v>3.2000000000000001E-2</v>
      </c>
      <c r="AM343">
        <v>0.10100000000000001</v>
      </c>
      <c r="AN343">
        <v>0.152</v>
      </c>
      <c r="AO343">
        <v>1.9079999999999999</v>
      </c>
    </row>
    <row r="344" spans="1:41" x14ac:dyDescent="0.2">
      <c r="A344">
        <v>2023</v>
      </c>
      <c r="B344">
        <v>104707</v>
      </c>
      <c r="C344">
        <v>23</v>
      </c>
      <c r="D344" t="s">
        <v>1357</v>
      </c>
      <c r="E344" t="s">
        <v>42</v>
      </c>
      <c r="F344">
        <v>325180</v>
      </c>
      <c r="G344" t="s">
        <v>1160</v>
      </c>
      <c r="H344" t="s">
        <v>1358</v>
      </c>
      <c r="I344" t="s">
        <v>565</v>
      </c>
      <c r="J344" t="s">
        <v>46</v>
      </c>
      <c r="K344">
        <v>94801</v>
      </c>
      <c r="L344">
        <v>37.942</v>
      </c>
      <c r="M344">
        <v>-122.381</v>
      </c>
      <c r="N344" t="s">
        <v>566</v>
      </c>
      <c r="O344" t="s">
        <v>173</v>
      </c>
      <c r="P344" t="s">
        <v>108</v>
      </c>
      <c r="Q344" t="s">
        <v>109</v>
      </c>
      <c r="R344" t="s">
        <v>75</v>
      </c>
      <c r="S344" s="1">
        <v>11053</v>
      </c>
      <c r="T344" s="1">
        <v>11053</v>
      </c>
      <c r="U344">
        <v>0</v>
      </c>
      <c r="V344" s="1">
        <v>11042</v>
      </c>
      <c r="W344">
        <v>0.21</v>
      </c>
      <c r="X344">
        <v>0.02</v>
      </c>
      <c r="Y344" s="12">
        <v>0</v>
      </c>
      <c r="Z344" s="12">
        <v>0.2</v>
      </c>
      <c r="AA344" s="12">
        <v>2</v>
      </c>
      <c r="AB344" s="12">
        <v>156</v>
      </c>
      <c r="AC344" s="12">
        <v>0.6</v>
      </c>
      <c r="AD344" s="12">
        <v>0.6</v>
      </c>
      <c r="AE344">
        <v>1.75</v>
      </c>
      <c r="AF344">
        <v>0</v>
      </c>
      <c r="AG344">
        <v>4.4999999999999998E-2</v>
      </c>
      <c r="AH344">
        <v>2.31</v>
      </c>
      <c r="AI344">
        <v>11.5</v>
      </c>
      <c r="AK344">
        <v>33.799999999999997</v>
      </c>
      <c r="AL344">
        <v>0.33400000000000002</v>
      </c>
      <c r="AM344">
        <v>4.5679999999999996</v>
      </c>
      <c r="AN344">
        <v>47.414000000000001</v>
      </c>
      <c r="AO344">
        <v>67.456999999999994</v>
      </c>
    </row>
    <row r="345" spans="1:41" x14ac:dyDescent="0.2">
      <c r="A345">
        <v>2023</v>
      </c>
      <c r="B345">
        <v>104709</v>
      </c>
      <c r="C345">
        <v>509</v>
      </c>
      <c r="D345" t="s">
        <v>1359</v>
      </c>
      <c r="E345" t="s">
        <v>42</v>
      </c>
      <c r="F345">
        <v>111419</v>
      </c>
      <c r="G345" t="s">
        <v>1045</v>
      </c>
      <c r="H345" t="s">
        <v>1360</v>
      </c>
      <c r="I345" t="s">
        <v>593</v>
      </c>
      <c r="J345" t="s">
        <v>46</v>
      </c>
      <c r="K345">
        <v>93561</v>
      </c>
      <c r="L345">
        <v>35.116999999999997</v>
      </c>
      <c r="M345">
        <v>-118.6</v>
      </c>
      <c r="N345" t="s">
        <v>339</v>
      </c>
      <c r="O345" t="s">
        <v>193</v>
      </c>
      <c r="P345" t="s">
        <v>200</v>
      </c>
      <c r="Q345" t="s">
        <v>59</v>
      </c>
      <c r="R345" t="s">
        <v>51</v>
      </c>
      <c r="S345" s="1">
        <v>11619</v>
      </c>
      <c r="T345" s="1">
        <v>11619</v>
      </c>
      <c r="U345">
        <v>0</v>
      </c>
      <c r="V345" s="1">
        <v>11607</v>
      </c>
      <c r="W345">
        <v>0.22</v>
      </c>
      <c r="X345">
        <v>0.02</v>
      </c>
      <c r="Y345" s="12">
        <v>11619</v>
      </c>
      <c r="Z345" s="12">
        <v>7.1</v>
      </c>
      <c r="AA345" s="12">
        <v>8.1</v>
      </c>
      <c r="AB345" s="12">
        <v>1.3</v>
      </c>
      <c r="AC345" s="12">
        <v>3.3</v>
      </c>
      <c r="AD345" s="12">
        <v>3.3</v>
      </c>
      <c r="AE345">
        <v>0</v>
      </c>
      <c r="AF345">
        <v>0</v>
      </c>
      <c r="AI345">
        <v>0</v>
      </c>
      <c r="AM345">
        <v>0</v>
      </c>
      <c r="AN345">
        <v>0</v>
      </c>
      <c r="AO345">
        <v>0</v>
      </c>
    </row>
    <row r="346" spans="1:41" x14ac:dyDescent="0.2">
      <c r="A346">
        <v>2023</v>
      </c>
      <c r="B346">
        <v>104711</v>
      </c>
      <c r="D346" t="s">
        <v>1361</v>
      </c>
      <c r="E346" t="s">
        <v>42</v>
      </c>
      <c r="F346">
        <v>311514</v>
      </c>
      <c r="G346" t="s">
        <v>306</v>
      </c>
      <c r="H346" t="s">
        <v>1362</v>
      </c>
      <c r="I346" t="s">
        <v>396</v>
      </c>
      <c r="J346" t="s">
        <v>46</v>
      </c>
      <c r="K346">
        <v>95380</v>
      </c>
      <c r="L346">
        <v>37.5</v>
      </c>
      <c r="M346">
        <v>-120.89700000000001</v>
      </c>
      <c r="N346" t="s">
        <v>1363</v>
      </c>
      <c r="O346" t="s">
        <v>335</v>
      </c>
      <c r="P346" t="s">
        <v>194</v>
      </c>
      <c r="Q346" t="s">
        <v>195</v>
      </c>
      <c r="R346" t="s">
        <v>75</v>
      </c>
      <c r="S346" s="1">
        <v>21098</v>
      </c>
      <c r="T346" s="1">
        <v>21098</v>
      </c>
      <c r="U346">
        <v>0</v>
      </c>
      <c r="V346" s="1">
        <v>21075</v>
      </c>
      <c r="W346">
        <v>0.39</v>
      </c>
      <c r="X346">
        <v>0.04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</row>
    <row r="347" spans="1:41" x14ac:dyDescent="0.2">
      <c r="A347">
        <v>2023</v>
      </c>
      <c r="B347">
        <v>104713</v>
      </c>
      <c r="C347">
        <v>800214</v>
      </c>
      <c r="D347" t="s">
        <v>1364</v>
      </c>
      <c r="E347" t="s">
        <v>42</v>
      </c>
      <c r="F347">
        <v>221320</v>
      </c>
      <c r="G347" t="s">
        <v>122</v>
      </c>
      <c r="H347" t="s">
        <v>1365</v>
      </c>
      <c r="I347" t="s">
        <v>1366</v>
      </c>
      <c r="J347" t="s">
        <v>46</v>
      </c>
      <c r="K347">
        <v>90293</v>
      </c>
      <c r="L347">
        <v>33.924999999999997</v>
      </c>
      <c r="M347">
        <v>-118.431</v>
      </c>
      <c r="N347" t="s">
        <v>529</v>
      </c>
      <c r="O347" t="s">
        <v>48</v>
      </c>
      <c r="P347" t="s">
        <v>49</v>
      </c>
      <c r="Q347" t="s">
        <v>50</v>
      </c>
      <c r="R347" t="s">
        <v>51</v>
      </c>
      <c r="S347" s="1">
        <v>96072</v>
      </c>
      <c r="T347" s="1">
        <v>39449</v>
      </c>
      <c r="U347" s="1">
        <v>56623</v>
      </c>
      <c r="V347" s="1">
        <v>95740</v>
      </c>
      <c r="W347">
        <v>4.22</v>
      </c>
      <c r="X347">
        <v>0.76</v>
      </c>
      <c r="Y347" s="12">
        <v>39449</v>
      </c>
      <c r="Z347" s="12">
        <v>14.6</v>
      </c>
      <c r="AA347" s="12">
        <v>43.8</v>
      </c>
      <c r="AB347" s="12">
        <v>0.8</v>
      </c>
      <c r="AC347" s="12">
        <v>6.2</v>
      </c>
      <c r="AD347" s="12">
        <v>6.2</v>
      </c>
      <c r="AE347">
        <v>68.7</v>
      </c>
      <c r="AF347">
        <v>2.66</v>
      </c>
      <c r="AG347">
        <v>3.0000000000000001E-3</v>
      </c>
      <c r="AH347">
        <v>11.8</v>
      </c>
      <c r="AI347">
        <v>579</v>
      </c>
      <c r="AJ347">
        <v>1.82</v>
      </c>
      <c r="AK347" s="1">
        <v>1851</v>
      </c>
      <c r="AL347">
        <v>8.5999999999999993E-2</v>
      </c>
      <c r="AM347">
        <v>13.417999999999999</v>
      </c>
      <c r="AN347">
        <v>7.3680000000000003</v>
      </c>
      <c r="AO347">
        <v>320.27999999999997</v>
      </c>
    </row>
    <row r="348" spans="1:41" x14ac:dyDescent="0.2">
      <c r="A348">
        <v>2023</v>
      </c>
      <c r="B348">
        <v>104714</v>
      </c>
      <c r="D348" t="s">
        <v>1367</v>
      </c>
      <c r="E348" t="s">
        <v>250</v>
      </c>
      <c r="F348">
        <v>486210</v>
      </c>
      <c r="G348" t="s">
        <v>270</v>
      </c>
      <c r="H348" t="s">
        <v>1368</v>
      </c>
      <c r="I348" t="s">
        <v>1369</v>
      </c>
      <c r="J348" t="s">
        <v>46</v>
      </c>
      <c r="K348">
        <v>96117</v>
      </c>
      <c r="L348">
        <v>40.512999999999998</v>
      </c>
      <c r="M348">
        <v>-120.264</v>
      </c>
      <c r="N348" t="s">
        <v>1370</v>
      </c>
      <c r="O348" t="s">
        <v>821</v>
      </c>
      <c r="P348" t="s">
        <v>822</v>
      </c>
      <c r="Q348" t="s">
        <v>751</v>
      </c>
      <c r="R348" t="s">
        <v>75</v>
      </c>
      <c r="S348" s="1">
        <v>17601</v>
      </c>
      <c r="T348" s="1">
        <v>17601</v>
      </c>
      <c r="U348">
        <v>0</v>
      </c>
      <c r="V348" s="1">
        <v>12754</v>
      </c>
      <c r="W348">
        <v>193.59</v>
      </c>
      <c r="X348">
        <v>0.02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</row>
    <row r="349" spans="1:41" x14ac:dyDescent="0.2">
      <c r="A349">
        <v>2023</v>
      </c>
      <c r="B349">
        <v>104730</v>
      </c>
      <c r="C349">
        <v>11998</v>
      </c>
      <c r="D349" t="s">
        <v>1371</v>
      </c>
      <c r="E349" t="s">
        <v>42</v>
      </c>
      <c r="F349">
        <v>336413</v>
      </c>
      <c r="G349" t="s">
        <v>1372</v>
      </c>
      <c r="H349" t="s">
        <v>1373</v>
      </c>
      <c r="I349" t="s">
        <v>1374</v>
      </c>
      <c r="J349" t="s">
        <v>46</v>
      </c>
      <c r="K349">
        <v>90670</v>
      </c>
      <c r="L349">
        <v>33.930999999999997</v>
      </c>
      <c r="M349">
        <v>-118.072</v>
      </c>
      <c r="N349" t="s">
        <v>1375</v>
      </c>
      <c r="O349" t="s">
        <v>48</v>
      </c>
      <c r="P349" t="s">
        <v>49</v>
      </c>
      <c r="Q349" t="s">
        <v>50</v>
      </c>
      <c r="R349" t="s">
        <v>75</v>
      </c>
      <c r="S349" s="1">
        <v>10799</v>
      </c>
      <c r="T349" s="1">
        <v>10799</v>
      </c>
      <c r="U349">
        <v>0</v>
      </c>
      <c r="V349" s="1">
        <v>10788</v>
      </c>
      <c r="W349">
        <v>0.2</v>
      </c>
      <c r="X349">
        <v>0.02</v>
      </c>
      <c r="Y349" s="12">
        <v>0</v>
      </c>
      <c r="Z349" s="12">
        <v>2</v>
      </c>
      <c r="AA349" s="12">
        <v>1.2</v>
      </c>
      <c r="AB349" s="12">
        <v>0.1</v>
      </c>
      <c r="AC349" s="12">
        <v>1.8</v>
      </c>
      <c r="AD349" s="12">
        <v>1.4</v>
      </c>
      <c r="AE349">
        <v>23.9</v>
      </c>
      <c r="AF349">
        <v>0.66400000000000003</v>
      </c>
      <c r="AG349">
        <v>0</v>
      </c>
      <c r="AI349">
        <v>48.2</v>
      </c>
      <c r="AJ349">
        <v>0.59099999999999997</v>
      </c>
      <c r="AL349">
        <v>0.23200000000000001</v>
      </c>
      <c r="AM349">
        <v>0.68500000000000005</v>
      </c>
      <c r="AN349">
        <v>0.76800000000000002</v>
      </c>
      <c r="AO349">
        <v>9.42</v>
      </c>
    </row>
    <row r="350" spans="1:41" x14ac:dyDescent="0.2">
      <c r="A350">
        <v>2023</v>
      </c>
      <c r="B350">
        <v>104733</v>
      </c>
      <c r="C350">
        <v>153</v>
      </c>
      <c r="D350" t="s">
        <v>1376</v>
      </c>
      <c r="E350" t="s">
        <v>42</v>
      </c>
      <c r="F350">
        <v>327420</v>
      </c>
      <c r="G350" t="s">
        <v>481</v>
      </c>
      <c r="H350" t="s">
        <v>1377</v>
      </c>
      <c r="I350" t="s">
        <v>348</v>
      </c>
      <c r="J350" t="s">
        <v>46</v>
      </c>
      <c r="K350">
        <v>94536</v>
      </c>
      <c r="L350">
        <v>37.527000000000001</v>
      </c>
      <c r="M350">
        <v>-122.023</v>
      </c>
      <c r="N350" t="s">
        <v>349</v>
      </c>
      <c r="O350" t="s">
        <v>350</v>
      </c>
      <c r="P350" t="s">
        <v>108</v>
      </c>
      <c r="Q350" t="s">
        <v>109</v>
      </c>
      <c r="R350" t="s">
        <v>51</v>
      </c>
      <c r="S350" s="1">
        <v>31768</v>
      </c>
      <c r="T350" s="1">
        <v>31768</v>
      </c>
      <c r="U350">
        <v>0</v>
      </c>
      <c r="V350" s="1">
        <v>31735</v>
      </c>
      <c r="W350">
        <v>0.6</v>
      </c>
      <c r="X350">
        <v>0.06</v>
      </c>
      <c r="Y350" s="12">
        <v>31768</v>
      </c>
      <c r="Z350" s="12">
        <v>1.7</v>
      </c>
      <c r="AA350" s="12">
        <v>40.4</v>
      </c>
      <c r="AB350" s="12">
        <v>0.2</v>
      </c>
      <c r="AC350" s="12">
        <v>11</v>
      </c>
      <c r="AD350" s="12">
        <v>6.8</v>
      </c>
      <c r="AE350">
        <v>3.68</v>
      </c>
      <c r="AI350">
        <v>43.3</v>
      </c>
      <c r="AM350">
        <v>0.158</v>
      </c>
      <c r="AN350">
        <v>0.10299999999999999</v>
      </c>
      <c r="AO350">
        <v>2.8220000000000001</v>
      </c>
    </row>
    <row r="351" spans="1:41" x14ac:dyDescent="0.2">
      <c r="A351">
        <v>2023</v>
      </c>
      <c r="B351">
        <v>104734</v>
      </c>
      <c r="C351">
        <v>346</v>
      </c>
      <c r="D351" t="s">
        <v>1378</v>
      </c>
      <c r="E351" t="s">
        <v>42</v>
      </c>
      <c r="F351">
        <v>311919</v>
      </c>
      <c r="G351" t="s">
        <v>440</v>
      </c>
      <c r="H351" t="s">
        <v>1379</v>
      </c>
      <c r="I351" t="s">
        <v>1078</v>
      </c>
      <c r="J351" t="s">
        <v>46</v>
      </c>
      <c r="K351">
        <v>91730</v>
      </c>
      <c r="L351">
        <v>34.08</v>
      </c>
      <c r="M351">
        <v>-117.59099999999999</v>
      </c>
      <c r="N351" t="s">
        <v>1043</v>
      </c>
      <c r="O351" t="s">
        <v>57</v>
      </c>
      <c r="P351" t="s">
        <v>49</v>
      </c>
      <c r="Q351" t="s">
        <v>50</v>
      </c>
      <c r="R351" t="s">
        <v>75</v>
      </c>
      <c r="S351" s="1">
        <v>9304</v>
      </c>
      <c r="T351" s="1">
        <v>9304</v>
      </c>
      <c r="U351">
        <v>0</v>
      </c>
      <c r="V351" s="1">
        <v>9295</v>
      </c>
      <c r="W351">
        <v>0.18</v>
      </c>
      <c r="X351">
        <v>0.02</v>
      </c>
      <c r="Y351" s="12">
        <v>0</v>
      </c>
      <c r="Z351" s="12">
        <v>1.7</v>
      </c>
      <c r="AA351" s="12">
        <v>10.7</v>
      </c>
      <c r="AB351" s="12">
        <v>0.1</v>
      </c>
      <c r="AC351" s="12">
        <v>6.8</v>
      </c>
      <c r="AD351" s="12">
        <v>6.7</v>
      </c>
      <c r="AE351">
        <v>1.6</v>
      </c>
      <c r="AF351">
        <v>0.27800000000000002</v>
      </c>
      <c r="AG351">
        <v>0</v>
      </c>
      <c r="AH351">
        <v>42.9</v>
      </c>
      <c r="AI351">
        <v>5.09</v>
      </c>
      <c r="AJ351">
        <v>0.23799999999999999</v>
      </c>
      <c r="AL351">
        <v>5.0000000000000001E-3</v>
      </c>
      <c r="AM351">
        <v>9.8000000000000004E-2</v>
      </c>
      <c r="AN351">
        <v>0.254</v>
      </c>
      <c r="AO351">
        <v>100.953</v>
      </c>
    </row>
    <row r="352" spans="1:41" x14ac:dyDescent="0.2">
      <c r="A352">
        <v>2023</v>
      </c>
      <c r="B352">
        <v>104736</v>
      </c>
      <c r="D352" t="s">
        <v>1380</v>
      </c>
      <c r="E352" t="s">
        <v>42</v>
      </c>
      <c r="F352">
        <v>922140</v>
      </c>
      <c r="G352" t="s">
        <v>117</v>
      </c>
      <c r="H352" t="s">
        <v>1381</v>
      </c>
      <c r="I352" t="s">
        <v>1382</v>
      </c>
      <c r="J352" t="s">
        <v>46</v>
      </c>
      <c r="K352">
        <v>95671</v>
      </c>
      <c r="L352">
        <v>38.688000000000002</v>
      </c>
      <c r="M352">
        <v>-121.16</v>
      </c>
      <c r="N352" t="s">
        <v>1383</v>
      </c>
      <c r="O352" t="s">
        <v>100</v>
      </c>
      <c r="P352" t="s">
        <v>101</v>
      </c>
      <c r="Q352" t="s">
        <v>74</v>
      </c>
      <c r="R352" t="s">
        <v>75</v>
      </c>
      <c r="S352" s="1">
        <v>17182</v>
      </c>
      <c r="T352" s="1">
        <v>17182</v>
      </c>
      <c r="U352">
        <v>0</v>
      </c>
      <c r="V352" s="1">
        <v>17164</v>
      </c>
      <c r="W352">
        <v>0.32</v>
      </c>
      <c r="X352">
        <v>0.03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</row>
    <row r="353" spans="1:41" x14ac:dyDescent="0.2">
      <c r="A353">
        <v>2023</v>
      </c>
      <c r="B353">
        <v>104737</v>
      </c>
      <c r="C353">
        <v>132</v>
      </c>
      <c r="D353" t="s">
        <v>1384</v>
      </c>
      <c r="E353" t="s">
        <v>42</v>
      </c>
      <c r="F353">
        <v>311514</v>
      </c>
      <c r="G353" t="s">
        <v>306</v>
      </c>
      <c r="H353" t="s">
        <v>1385</v>
      </c>
      <c r="I353" t="s">
        <v>405</v>
      </c>
      <c r="J353" t="s">
        <v>46</v>
      </c>
      <c r="K353">
        <v>93291</v>
      </c>
      <c r="L353">
        <v>36.337000000000003</v>
      </c>
      <c r="M353">
        <v>-119.31100000000001</v>
      </c>
      <c r="N353" t="s">
        <v>1386</v>
      </c>
      <c r="O353" t="s">
        <v>392</v>
      </c>
      <c r="P353" t="s">
        <v>194</v>
      </c>
      <c r="Q353" t="s">
        <v>195</v>
      </c>
      <c r="R353" t="s">
        <v>75</v>
      </c>
      <c r="S353" s="1">
        <v>21143</v>
      </c>
      <c r="T353" s="1">
        <v>21143</v>
      </c>
      <c r="U353">
        <v>0</v>
      </c>
      <c r="V353" s="1">
        <v>21121</v>
      </c>
      <c r="W353">
        <v>0.4</v>
      </c>
      <c r="X353">
        <v>0.04</v>
      </c>
      <c r="Y353" s="12">
        <v>0</v>
      </c>
      <c r="Z353" s="12">
        <v>0.7</v>
      </c>
      <c r="AA353" s="12">
        <v>3.2</v>
      </c>
      <c r="AB353" s="12">
        <v>0.6</v>
      </c>
      <c r="AC353" s="12">
        <v>3.2</v>
      </c>
      <c r="AD353" s="12">
        <v>2.2999999999999998</v>
      </c>
      <c r="AE353">
        <v>2.29</v>
      </c>
      <c r="AI353">
        <v>4.8600000000000003</v>
      </c>
      <c r="AM353">
        <v>0.104</v>
      </c>
      <c r="AN353">
        <v>7.6999999999999999E-2</v>
      </c>
      <c r="AO353">
        <v>1.181</v>
      </c>
    </row>
    <row r="354" spans="1:41" x14ac:dyDescent="0.2">
      <c r="A354">
        <v>2023</v>
      </c>
      <c r="B354">
        <v>104738</v>
      </c>
      <c r="C354">
        <v>450</v>
      </c>
      <c r="D354" t="s">
        <v>1387</v>
      </c>
      <c r="E354" t="s">
        <v>42</v>
      </c>
      <c r="F354">
        <v>622110</v>
      </c>
      <c r="G354" t="s">
        <v>868</v>
      </c>
      <c r="H354" t="s">
        <v>1388</v>
      </c>
      <c r="I354" t="s">
        <v>1285</v>
      </c>
      <c r="J354" t="s">
        <v>46</v>
      </c>
      <c r="K354">
        <v>94304</v>
      </c>
      <c r="L354">
        <v>37.417000000000002</v>
      </c>
      <c r="M354">
        <v>-122.16800000000001</v>
      </c>
      <c r="N354" t="s">
        <v>1389</v>
      </c>
      <c r="O354" t="s">
        <v>107</v>
      </c>
      <c r="P354" t="s">
        <v>108</v>
      </c>
      <c r="Q354" t="s">
        <v>109</v>
      </c>
      <c r="R354" t="s">
        <v>75</v>
      </c>
      <c r="S354" s="1">
        <v>11536</v>
      </c>
      <c r="T354" s="1">
        <v>11536</v>
      </c>
      <c r="U354">
        <v>0</v>
      </c>
      <c r="V354" s="1">
        <v>11524</v>
      </c>
      <c r="W354">
        <v>0.22</v>
      </c>
      <c r="X354">
        <v>0.02</v>
      </c>
      <c r="Y354" s="12">
        <v>0</v>
      </c>
      <c r="Z354" s="12">
        <v>0.8</v>
      </c>
      <c r="AA354" s="12">
        <v>2.5</v>
      </c>
      <c r="AB354" s="12">
        <v>0</v>
      </c>
      <c r="AC354" s="12">
        <v>0.3</v>
      </c>
      <c r="AD354" s="12">
        <v>0.3</v>
      </c>
      <c r="AE354">
        <v>2.99</v>
      </c>
      <c r="AG354">
        <v>0</v>
      </c>
      <c r="AH354">
        <v>35.799999999999997</v>
      </c>
      <c r="AI354">
        <v>34.700000000000003</v>
      </c>
      <c r="AL354">
        <v>0.38100000000000001</v>
      </c>
      <c r="AM354">
        <v>0.52500000000000002</v>
      </c>
      <c r="AN354">
        <v>0.92200000000000004</v>
      </c>
      <c r="AO354">
        <v>92.37</v>
      </c>
    </row>
    <row r="355" spans="1:41" x14ac:dyDescent="0.2">
      <c r="A355">
        <v>2023</v>
      </c>
      <c r="B355">
        <v>104743</v>
      </c>
      <c r="C355">
        <v>2282</v>
      </c>
      <c r="D355" t="s">
        <v>1390</v>
      </c>
      <c r="E355" t="s">
        <v>42</v>
      </c>
      <c r="F355">
        <v>311611</v>
      </c>
      <c r="G355" t="s">
        <v>1338</v>
      </c>
      <c r="H355" t="s">
        <v>1391</v>
      </c>
      <c r="I355" t="s">
        <v>421</v>
      </c>
      <c r="J355" t="s">
        <v>46</v>
      </c>
      <c r="K355">
        <v>93230</v>
      </c>
      <c r="L355">
        <v>36.322000000000003</v>
      </c>
      <c r="M355">
        <v>-119.61199999999999</v>
      </c>
      <c r="N355" t="s">
        <v>1392</v>
      </c>
      <c r="O355" t="s">
        <v>418</v>
      </c>
      <c r="P355" t="s">
        <v>194</v>
      </c>
      <c r="Q355" t="s">
        <v>195</v>
      </c>
      <c r="R355" t="s">
        <v>75</v>
      </c>
      <c r="S355" s="1">
        <v>24740</v>
      </c>
      <c r="T355" s="1">
        <v>24740</v>
      </c>
      <c r="U355">
        <v>0</v>
      </c>
      <c r="V355" s="1">
        <v>24714</v>
      </c>
      <c r="W355">
        <v>0.47</v>
      </c>
      <c r="X355">
        <v>0.05</v>
      </c>
      <c r="Y355" s="12">
        <v>0</v>
      </c>
      <c r="Z355" s="12">
        <v>0.4</v>
      </c>
      <c r="AA355" s="12">
        <v>0.7</v>
      </c>
      <c r="AB355" s="12">
        <v>0.2</v>
      </c>
      <c r="AC355" s="12">
        <v>0.5</v>
      </c>
      <c r="AD355" s="12">
        <v>0.5</v>
      </c>
      <c r="AE355">
        <v>1.07</v>
      </c>
      <c r="AH355">
        <v>4.53</v>
      </c>
      <c r="AI355">
        <v>2.09</v>
      </c>
      <c r="AM355">
        <v>4.4999999999999998E-2</v>
      </c>
      <c r="AN355">
        <v>4.9000000000000002E-2</v>
      </c>
      <c r="AO355">
        <v>11.031000000000001</v>
      </c>
    </row>
    <row r="356" spans="1:41" x14ac:dyDescent="0.2">
      <c r="A356">
        <v>2023</v>
      </c>
      <c r="B356">
        <v>104746</v>
      </c>
      <c r="C356">
        <v>1179</v>
      </c>
      <c r="D356" t="s">
        <v>1393</v>
      </c>
      <c r="E356" t="s">
        <v>42</v>
      </c>
      <c r="F356">
        <v>562212</v>
      </c>
      <c r="G356" t="s">
        <v>1394</v>
      </c>
      <c r="H356" t="s">
        <v>1395</v>
      </c>
      <c r="I356" t="s">
        <v>1396</v>
      </c>
      <c r="J356" t="s">
        <v>46</v>
      </c>
      <c r="K356">
        <v>94945</v>
      </c>
      <c r="L356">
        <v>38.165999999999997</v>
      </c>
      <c r="M356">
        <v>-122.563</v>
      </c>
      <c r="N356" t="s">
        <v>1397</v>
      </c>
      <c r="O356" t="s">
        <v>1398</v>
      </c>
      <c r="P356" t="s">
        <v>108</v>
      </c>
      <c r="Q356" t="s">
        <v>109</v>
      </c>
      <c r="R356" t="s">
        <v>75</v>
      </c>
      <c r="S356" s="1">
        <v>3491</v>
      </c>
      <c r="T356">
        <v>18</v>
      </c>
      <c r="U356" s="1">
        <v>3473</v>
      </c>
      <c r="V356" s="1">
        <v>3473</v>
      </c>
      <c r="W356">
        <v>0.21</v>
      </c>
      <c r="X356">
        <v>0.04</v>
      </c>
      <c r="Y356" s="12">
        <v>0</v>
      </c>
      <c r="Z356" s="12">
        <v>102.4</v>
      </c>
      <c r="AA356" s="12">
        <v>17</v>
      </c>
      <c r="AB356" s="12">
        <v>35.200000000000003</v>
      </c>
      <c r="AC356" s="12">
        <v>93.4</v>
      </c>
      <c r="AD356" s="12">
        <v>15.3</v>
      </c>
      <c r="AE356">
        <v>17.899999999999999</v>
      </c>
      <c r="AF356">
        <v>2.06</v>
      </c>
      <c r="AG356">
        <v>0</v>
      </c>
      <c r="AH356">
        <v>1.69</v>
      </c>
      <c r="AI356">
        <v>58.3</v>
      </c>
      <c r="AJ356">
        <v>523</v>
      </c>
      <c r="AK356" s="1">
        <v>20995</v>
      </c>
      <c r="AL356">
        <v>0</v>
      </c>
      <c r="AM356">
        <v>87.203999999999994</v>
      </c>
      <c r="AN356">
        <v>39.231000000000002</v>
      </c>
      <c r="AO356">
        <v>51.387999999999998</v>
      </c>
    </row>
    <row r="357" spans="1:41" x14ac:dyDescent="0.2">
      <c r="A357">
        <v>2023</v>
      </c>
      <c r="B357">
        <v>104766</v>
      </c>
      <c r="C357">
        <v>2637</v>
      </c>
      <c r="D357" t="s">
        <v>1399</v>
      </c>
      <c r="E357" t="s">
        <v>250</v>
      </c>
      <c r="F357">
        <v>211111</v>
      </c>
      <c r="G357" t="s">
        <v>256</v>
      </c>
      <c r="H357" t="s">
        <v>1400</v>
      </c>
      <c r="I357" t="s">
        <v>1401</v>
      </c>
      <c r="J357" t="s">
        <v>46</v>
      </c>
      <c r="K357">
        <v>93440</v>
      </c>
      <c r="L357">
        <v>34.712000000000003</v>
      </c>
      <c r="M357">
        <v>-120.245</v>
      </c>
      <c r="N357" t="s">
        <v>1402</v>
      </c>
      <c r="O357" t="s">
        <v>524</v>
      </c>
      <c r="P357" t="s">
        <v>525</v>
      </c>
      <c r="Q357" t="s">
        <v>155</v>
      </c>
      <c r="R357" t="s">
        <v>75</v>
      </c>
      <c r="S357">
        <v>8</v>
      </c>
      <c r="T357">
        <v>8</v>
      </c>
      <c r="U357">
        <v>0</v>
      </c>
      <c r="V357">
        <v>8</v>
      </c>
      <c r="W357">
        <v>0</v>
      </c>
      <c r="X357">
        <v>0</v>
      </c>
      <c r="Y357" s="12">
        <v>0</v>
      </c>
      <c r="Z357" s="12">
        <v>30.9</v>
      </c>
      <c r="AA357" s="12">
        <v>70.8</v>
      </c>
      <c r="AB357" s="12">
        <v>4.4000000000000004</v>
      </c>
      <c r="AC357" s="12">
        <v>2.2000000000000002</v>
      </c>
      <c r="AD357" s="12">
        <v>2.2000000000000002</v>
      </c>
      <c r="AE357">
        <v>632.6</v>
      </c>
      <c r="AF357">
        <v>53.3</v>
      </c>
      <c r="AI357" s="2">
        <v>3772.5970000000002</v>
      </c>
      <c r="AL357">
        <v>0.42199999999999999</v>
      </c>
      <c r="AM357">
        <v>51.305999999999997</v>
      </c>
      <c r="AN357">
        <v>37.241</v>
      </c>
      <c r="AO357">
        <v>425.59399999999999</v>
      </c>
    </row>
    <row r="358" spans="1:41" x14ac:dyDescent="0.2">
      <c r="A358">
        <v>2023</v>
      </c>
      <c r="B358">
        <v>104783</v>
      </c>
      <c r="C358">
        <v>4207</v>
      </c>
      <c r="D358" t="s">
        <v>1403</v>
      </c>
      <c r="E358" t="s">
        <v>250</v>
      </c>
      <c r="F358">
        <v>211111</v>
      </c>
      <c r="G358" t="s">
        <v>256</v>
      </c>
      <c r="H358" t="s">
        <v>1404</v>
      </c>
      <c r="I358" t="s">
        <v>1047</v>
      </c>
      <c r="J358" t="s">
        <v>46</v>
      </c>
      <c r="K358">
        <v>93454</v>
      </c>
      <c r="L358">
        <v>34.880000000000003</v>
      </c>
      <c r="M358">
        <v>-120.321</v>
      </c>
      <c r="N358" t="s">
        <v>700</v>
      </c>
      <c r="O358" t="s">
        <v>524</v>
      </c>
      <c r="P358" t="s">
        <v>525</v>
      </c>
      <c r="Q358" t="s">
        <v>155</v>
      </c>
      <c r="R358" t="s">
        <v>75</v>
      </c>
      <c r="S358" s="1">
        <v>11683</v>
      </c>
      <c r="T358" s="1">
        <v>11683</v>
      </c>
      <c r="U358">
        <v>0</v>
      </c>
      <c r="V358" s="1">
        <v>11140</v>
      </c>
      <c r="W358">
        <v>21.46</v>
      </c>
      <c r="X358">
        <v>0.02</v>
      </c>
      <c r="Y358" s="12">
        <v>0</v>
      </c>
      <c r="Z358" s="12">
        <v>10.1</v>
      </c>
      <c r="AA358" s="12">
        <v>1.5</v>
      </c>
      <c r="AB358" s="12">
        <v>2.2999999999999998</v>
      </c>
      <c r="AC358" s="12">
        <v>1.1000000000000001</v>
      </c>
      <c r="AD358" s="12">
        <v>1.1000000000000001</v>
      </c>
      <c r="AE358">
        <v>130.9</v>
      </c>
      <c r="AI358">
        <v>24.927</v>
      </c>
      <c r="AL358">
        <v>0.51500000000000001</v>
      </c>
      <c r="AM358">
        <v>1.4710000000000001</v>
      </c>
      <c r="AN358">
        <v>1.823</v>
      </c>
      <c r="AO358">
        <v>44.014000000000003</v>
      </c>
    </row>
    <row r="359" spans="1:41" x14ac:dyDescent="0.2">
      <c r="A359">
        <v>2023</v>
      </c>
      <c r="B359">
        <v>104792</v>
      </c>
      <c r="C359">
        <v>512</v>
      </c>
      <c r="D359" t="s">
        <v>1405</v>
      </c>
      <c r="E359" t="s">
        <v>42</v>
      </c>
      <c r="F359">
        <v>311911</v>
      </c>
      <c r="G359" t="s">
        <v>787</v>
      </c>
      <c r="H359" t="s">
        <v>1406</v>
      </c>
      <c r="I359" t="s">
        <v>1407</v>
      </c>
      <c r="J359" t="s">
        <v>46</v>
      </c>
      <c r="K359">
        <v>93270</v>
      </c>
      <c r="L359">
        <v>35.959000000000003</v>
      </c>
      <c r="M359">
        <v>-119.04900000000001</v>
      </c>
      <c r="N359" t="s">
        <v>1408</v>
      </c>
      <c r="O359" t="s">
        <v>392</v>
      </c>
      <c r="P359" t="s">
        <v>194</v>
      </c>
      <c r="Q359" t="s">
        <v>195</v>
      </c>
      <c r="R359" t="s">
        <v>75</v>
      </c>
      <c r="S359" s="1">
        <v>13536</v>
      </c>
      <c r="T359" s="1">
        <v>13536</v>
      </c>
      <c r="U359">
        <v>0</v>
      </c>
      <c r="V359" s="1">
        <v>13522</v>
      </c>
      <c r="W359">
        <v>0.26</v>
      </c>
      <c r="X359">
        <v>0.03</v>
      </c>
      <c r="Y359" s="12">
        <v>0</v>
      </c>
      <c r="Z359" s="12">
        <v>0.7</v>
      </c>
      <c r="AA359" s="12">
        <v>10.5</v>
      </c>
      <c r="AB359" s="12">
        <v>0.4</v>
      </c>
      <c r="AC359" s="12">
        <v>1.9</v>
      </c>
      <c r="AD359" s="12">
        <v>1.2</v>
      </c>
      <c r="AE359">
        <v>1.49</v>
      </c>
      <c r="AF359">
        <v>1.0999999999999999E-2</v>
      </c>
      <c r="AG359">
        <v>8.0000000000000002E-3</v>
      </c>
      <c r="AH359">
        <v>2.2200000000000002</v>
      </c>
      <c r="AI359">
        <v>3.43</v>
      </c>
      <c r="AL359">
        <v>0.122</v>
      </c>
      <c r="AM359">
        <v>0.32600000000000001</v>
      </c>
      <c r="AN359">
        <v>38.408000000000001</v>
      </c>
      <c r="AO359">
        <v>30.404</v>
      </c>
    </row>
    <row r="360" spans="1:41" x14ac:dyDescent="0.2">
      <c r="A360">
        <v>2023</v>
      </c>
      <c r="B360">
        <v>104796</v>
      </c>
      <c r="C360">
        <v>23725</v>
      </c>
      <c r="D360" t="s">
        <v>1409</v>
      </c>
      <c r="E360" t="s">
        <v>42</v>
      </c>
      <c r="F360">
        <v>311225</v>
      </c>
      <c r="G360" t="s">
        <v>1410</v>
      </c>
      <c r="H360" t="s">
        <v>1411</v>
      </c>
      <c r="I360" t="s">
        <v>565</v>
      </c>
      <c r="J360" t="s">
        <v>46</v>
      </c>
      <c r="K360">
        <v>94804</v>
      </c>
      <c r="L360">
        <v>37.918999999999997</v>
      </c>
      <c r="M360">
        <v>-122.36</v>
      </c>
      <c r="N360" t="s">
        <v>566</v>
      </c>
      <c r="O360" t="s">
        <v>173</v>
      </c>
      <c r="P360" t="s">
        <v>108</v>
      </c>
      <c r="Q360" t="s">
        <v>109</v>
      </c>
      <c r="R360" t="s">
        <v>75</v>
      </c>
      <c r="S360" s="1">
        <v>13629</v>
      </c>
      <c r="T360" s="1">
        <v>13629</v>
      </c>
      <c r="U360">
        <v>0</v>
      </c>
      <c r="V360" s="1">
        <v>13615</v>
      </c>
      <c r="W360">
        <v>0.26</v>
      </c>
      <c r="X360">
        <v>0.03</v>
      </c>
      <c r="Y360" s="12">
        <v>0</v>
      </c>
      <c r="Z360" s="12">
        <v>0.1</v>
      </c>
      <c r="AA360" s="12">
        <v>2.2999999999999998</v>
      </c>
      <c r="AB360" s="12">
        <v>0</v>
      </c>
      <c r="AC360" s="12">
        <v>0.1</v>
      </c>
      <c r="AD360" s="12">
        <v>0.1</v>
      </c>
      <c r="AE360">
        <v>0.32700000000000001</v>
      </c>
      <c r="AF360">
        <v>0</v>
      </c>
      <c r="AG360">
        <v>0</v>
      </c>
      <c r="AI360">
        <v>11.3</v>
      </c>
      <c r="AL360">
        <v>7.3999999999999996E-2</v>
      </c>
      <c r="AM360">
        <v>0.11700000000000001</v>
      </c>
      <c r="AN360">
        <v>0.16900000000000001</v>
      </c>
      <c r="AO360">
        <v>2.2050000000000001</v>
      </c>
    </row>
    <row r="361" spans="1:41" x14ac:dyDescent="0.2">
      <c r="A361">
        <v>2023</v>
      </c>
      <c r="B361">
        <v>104797</v>
      </c>
      <c r="C361">
        <v>2236</v>
      </c>
      <c r="D361" t="s">
        <v>1412</v>
      </c>
      <c r="E361" t="s">
        <v>42</v>
      </c>
      <c r="F361">
        <v>312111</v>
      </c>
      <c r="G361" t="s">
        <v>1184</v>
      </c>
      <c r="H361" t="s">
        <v>1413</v>
      </c>
      <c r="I361" t="s">
        <v>333</v>
      </c>
      <c r="J361" t="s">
        <v>46</v>
      </c>
      <c r="K361">
        <v>95354</v>
      </c>
      <c r="L361">
        <v>37.634</v>
      </c>
      <c r="M361">
        <v>-120.935</v>
      </c>
      <c r="N361" t="s">
        <v>911</v>
      </c>
      <c r="O361" t="s">
        <v>335</v>
      </c>
      <c r="P361" t="s">
        <v>194</v>
      </c>
      <c r="Q361" t="s">
        <v>195</v>
      </c>
      <c r="R361" t="s">
        <v>75</v>
      </c>
      <c r="S361" s="1">
        <v>10362</v>
      </c>
      <c r="T361" s="1">
        <v>10362</v>
      </c>
      <c r="U361">
        <v>0</v>
      </c>
      <c r="V361" s="1">
        <v>10351</v>
      </c>
      <c r="W361">
        <v>0.2</v>
      </c>
      <c r="X361">
        <v>0.02</v>
      </c>
      <c r="Y361" s="12">
        <v>0</v>
      </c>
      <c r="Z361" s="12">
        <v>0.5</v>
      </c>
      <c r="AA361" s="12">
        <v>0.4</v>
      </c>
      <c r="AB361" s="12">
        <v>0.3</v>
      </c>
      <c r="AC361" s="12">
        <v>0.7</v>
      </c>
      <c r="AD361" s="12">
        <v>0.7</v>
      </c>
      <c r="AE361">
        <v>0.33200000000000002</v>
      </c>
      <c r="AI361">
        <v>0.70299999999999996</v>
      </c>
      <c r="AM361">
        <v>2.1000000000000001E-2</v>
      </c>
      <c r="AN361">
        <v>0.02</v>
      </c>
      <c r="AO361">
        <v>0.29799999999999999</v>
      </c>
    </row>
    <row r="362" spans="1:41" x14ac:dyDescent="0.2">
      <c r="A362">
        <v>2023</v>
      </c>
      <c r="B362">
        <v>104801</v>
      </c>
      <c r="C362">
        <v>17456</v>
      </c>
      <c r="D362" t="s">
        <v>1414</v>
      </c>
      <c r="E362" t="s">
        <v>42</v>
      </c>
      <c r="F362">
        <v>311920</v>
      </c>
      <c r="G362" t="s">
        <v>1415</v>
      </c>
      <c r="H362" t="s">
        <v>1416</v>
      </c>
      <c r="I362" t="s">
        <v>350</v>
      </c>
      <c r="J362" t="s">
        <v>46</v>
      </c>
      <c r="K362">
        <v>94502</v>
      </c>
      <c r="L362">
        <v>37.728000000000002</v>
      </c>
      <c r="M362">
        <v>-122.246</v>
      </c>
      <c r="N362" t="s">
        <v>1417</v>
      </c>
      <c r="O362" t="s">
        <v>350</v>
      </c>
      <c r="P362" t="s">
        <v>108</v>
      </c>
      <c r="Q362" t="s">
        <v>109</v>
      </c>
      <c r="R362" t="s">
        <v>75</v>
      </c>
      <c r="S362" s="1">
        <v>10221</v>
      </c>
      <c r="T362" s="1">
        <v>10221</v>
      </c>
      <c r="U362">
        <v>0</v>
      </c>
      <c r="V362" s="1">
        <v>10210</v>
      </c>
      <c r="W362">
        <v>0.19</v>
      </c>
      <c r="X362">
        <v>0.02</v>
      </c>
      <c r="Y362" s="12">
        <v>0</v>
      </c>
      <c r="Z362" s="12">
        <v>5</v>
      </c>
      <c r="AA362" s="12">
        <v>8.3000000000000007</v>
      </c>
      <c r="AB362" s="12">
        <v>0</v>
      </c>
      <c r="AC362" s="12">
        <v>15.5</v>
      </c>
      <c r="AD362" s="12">
        <v>9.4</v>
      </c>
      <c r="AE362">
        <v>0.59599999999999997</v>
      </c>
      <c r="AI362">
        <v>591</v>
      </c>
      <c r="AL362">
        <v>1.4999999999999999E-2</v>
      </c>
      <c r="AM362">
        <v>1.9219999999999999</v>
      </c>
      <c r="AN362">
        <v>1.1739999999999999</v>
      </c>
      <c r="AO362">
        <v>31.22</v>
      </c>
    </row>
    <row r="363" spans="1:41" x14ac:dyDescent="0.2">
      <c r="A363">
        <v>2023</v>
      </c>
      <c r="B363">
        <v>104805</v>
      </c>
      <c r="D363" t="s">
        <v>1418</v>
      </c>
      <c r="E363" t="s">
        <v>250</v>
      </c>
      <c r="F363">
        <v>211111</v>
      </c>
      <c r="G363" t="s">
        <v>256</v>
      </c>
      <c r="H363" t="s">
        <v>1419</v>
      </c>
      <c r="I363" t="s">
        <v>1420</v>
      </c>
      <c r="J363" t="s">
        <v>46</v>
      </c>
      <c r="K363">
        <v>90631</v>
      </c>
      <c r="L363">
        <v>33.956000000000003</v>
      </c>
      <c r="M363">
        <v>-117.968</v>
      </c>
      <c r="N363" t="s">
        <v>1421</v>
      </c>
      <c r="O363" t="s">
        <v>48</v>
      </c>
      <c r="P363" t="s">
        <v>49</v>
      </c>
      <c r="Q363" t="s">
        <v>50</v>
      </c>
      <c r="R363" t="s">
        <v>75</v>
      </c>
      <c r="S363" s="1">
        <v>13022</v>
      </c>
      <c r="T363" s="1">
        <v>13022</v>
      </c>
      <c r="U363">
        <v>0</v>
      </c>
      <c r="V363" s="1">
        <v>11377</v>
      </c>
      <c r="W363">
        <v>65.27</v>
      </c>
      <c r="X363">
        <v>0.04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</row>
    <row r="364" spans="1:41" x14ac:dyDescent="0.2">
      <c r="A364">
        <v>2023</v>
      </c>
      <c r="B364">
        <v>104836</v>
      </c>
      <c r="C364">
        <v>275</v>
      </c>
      <c r="D364" t="s">
        <v>1422</v>
      </c>
      <c r="E364" t="s">
        <v>42</v>
      </c>
      <c r="F364">
        <v>311411</v>
      </c>
      <c r="G364" t="s">
        <v>1303</v>
      </c>
      <c r="H364" t="s">
        <v>1423</v>
      </c>
      <c r="I364" t="s">
        <v>639</v>
      </c>
      <c r="J364" t="s">
        <v>46</v>
      </c>
      <c r="K364">
        <v>93272</v>
      </c>
      <c r="L364">
        <v>36.051000000000002</v>
      </c>
      <c r="M364">
        <v>-119.315</v>
      </c>
      <c r="N364" t="s">
        <v>640</v>
      </c>
      <c r="O364" t="s">
        <v>392</v>
      </c>
      <c r="P364" t="s">
        <v>194</v>
      </c>
      <c r="Q364" t="s">
        <v>195</v>
      </c>
      <c r="R364" t="s">
        <v>75</v>
      </c>
      <c r="S364" s="1">
        <v>11699</v>
      </c>
      <c r="T364" s="1">
        <v>11699</v>
      </c>
      <c r="U364">
        <v>0</v>
      </c>
      <c r="V364" s="1">
        <v>11687</v>
      </c>
      <c r="W364">
        <v>0.22</v>
      </c>
      <c r="X364">
        <v>0.02</v>
      </c>
      <c r="Y364" s="12">
        <v>0</v>
      </c>
      <c r="Z364" s="12">
        <v>0.6</v>
      </c>
      <c r="AA364" s="12">
        <v>0.7</v>
      </c>
      <c r="AB364" s="12">
        <v>0.3</v>
      </c>
      <c r="AC364" s="12">
        <v>0.9</v>
      </c>
      <c r="AD364" s="12">
        <v>0.9</v>
      </c>
      <c r="AE364">
        <v>1.38</v>
      </c>
      <c r="AH364">
        <v>0.85299999999999998</v>
      </c>
      <c r="AI364">
        <v>2.92</v>
      </c>
      <c r="AM364">
        <v>6.2E-2</v>
      </c>
      <c r="AN364">
        <v>4.9000000000000002E-2</v>
      </c>
      <c r="AO364">
        <v>2.681</v>
      </c>
    </row>
    <row r="365" spans="1:41" x14ac:dyDescent="0.2">
      <c r="A365">
        <v>2023</v>
      </c>
      <c r="B365">
        <v>104838</v>
      </c>
      <c r="C365">
        <v>1510</v>
      </c>
      <c r="D365" t="s">
        <v>1424</v>
      </c>
      <c r="E365" t="s">
        <v>250</v>
      </c>
      <c r="F365">
        <v>211111</v>
      </c>
      <c r="G365" t="s">
        <v>256</v>
      </c>
      <c r="H365" t="s">
        <v>1425</v>
      </c>
      <c r="I365" t="s">
        <v>247</v>
      </c>
      <c r="J365" t="s">
        <v>46</v>
      </c>
      <c r="K365">
        <v>93307</v>
      </c>
      <c r="L365">
        <v>35.311</v>
      </c>
      <c r="M365">
        <v>-118.831</v>
      </c>
      <c r="N365" t="s">
        <v>1426</v>
      </c>
      <c r="O365" t="s">
        <v>193</v>
      </c>
      <c r="P365" t="s">
        <v>194</v>
      </c>
      <c r="Q365" t="s">
        <v>195</v>
      </c>
      <c r="R365" t="s">
        <v>75</v>
      </c>
      <c r="S365" s="1">
        <v>5101</v>
      </c>
      <c r="T365" s="1">
        <v>5101</v>
      </c>
      <c r="U365">
        <v>0</v>
      </c>
      <c r="V365" s="1">
        <v>1592</v>
      </c>
      <c r="W365">
        <v>140.30000000000001</v>
      </c>
      <c r="X365">
        <v>0</v>
      </c>
      <c r="Y365" s="12">
        <v>0</v>
      </c>
      <c r="Z365" s="12">
        <v>0.1</v>
      </c>
      <c r="AA365" s="12">
        <v>0.1</v>
      </c>
      <c r="AB365" s="12">
        <v>0</v>
      </c>
      <c r="AC365" s="12">
        <v>0.1</v>
      </c>
      <c r="AD365" s="12">
        <v>0.1</v>
      </c>
      <c r="AE365">
        <v>0.154</v>
      </c>
      <c r="AI365">
        <v>1.1299999999999999</v>
      </c>
      <c r="AM365">
        <v>5.0000000000000001E-3</v>
      </c>
      <c r="AN365">
        <v>4.0000000000000001E-3</v>
      </c>
      <c r="AO365">
        <v>0.14199999999999999</v>
      </c>
    </row>
    <row r="366" spans="1:41" x14ac:dyDescent="0.2">
      <c r="A366">
        <v>2023</v>
      </c>
      <c r="B366">
        <v>104844</v>
      </c>
      <c r="C366">
        <v>9149</v>
      </c>
      <c r="D366" t="s">
        <v>1427</v>
      </c>
      <c r="E366" t="s">
        <v>42</v>
      </c>
      <c r="F366">
        <v>311514</v>
      </c>
      <c r="G366" t="s">
        <v>306</v>
      </c>
      <c r="H366" t="s">
        <v>1428</v>
      </c>
      <c r="I366" t="s">
        <v>396</v>
      </c>
      <c r="J366" t="s">
        <v>46</v>
      </c>
      <c r="K366">
        <v>95380</v>
      </c>
      <c r="L366">
        <v>37.496000000000002</v>
      </c>
      <c r="M366">
        <v>-120.90300000000001</v>
      </c>
      <c r="N366" t="s">
        <v>1363</v>
      </c>
      <c r="O366" t="s">
        <v>335</v>
      </c>
      <c r="P366" t="s">
        <v>194</v>
      </c>
      <c r="Q366" t="s">
        <v>195</v>
      </c>
      <c r="R366" t="s">
        <v>75</v>
      </c>
      <c r="S366" s="1">
        <v>15419</v>
      </c>
      <c r="T366" s="1">
        <v>15419</v>
      </c>
      <c r="U366">
        <v>0</v>
      </c>
      <c r="V366" s="1">
        <v>15403</v>
      </c>
      <c r="W366">
        <v>0.28999999999999998</v>
      </c>
      <c r="X366">
        <v>0.03</v>
      </c>
      <c r="Y366" s="12">
        <v>0</v>
      </c>
      <c r="Z366" s="12">
        <v>0.6</v>
      </c>
      <c r="AA366" s="12">
        <v>0.6</v>
      </c>
      <c r="AB366" s="12">
        <v>0.3</v>
      </c>
      <c r="AC366" s="12">
        <v>1.8</v>
      </c>
      <c r="AD366" s="12">
        <v>0.8</v>
      </c>
      <c r="AE366">
        <v>1.25</v>
      </c>
      <c r="AI366">
        <v>2.64</v>
      </c>
      <c r="AM366">
        <v>5.6000000000000001E-2</v>
      </c>
      <c r="AN366">
        <v>4.2000000000000003E-2</v>
      </c>
      <c r="AO366">
        <v>0.64100000000000001</v>
      </c>
    </row>
    <row r="367" spans="1:41" x14ac:dyDescent="0.2">
      <c r="A367">
        <v>2023</v>
      </c>
      <c r="B367">
        <v>104848</v>
      </c>
      <c r="D367" t="s">
        <v>1429</v>
      </c>
      <c r="E367" t="s">
        <v>42</v>
      </c>
      <c r="F367">
        <v>332812</v>
      </c>
      <c r="G367" t="s">
        <v>1076</v>
      </c>
      <c r="H367" t="s">
        <v>1430</v>
      </c>
      <c r="I367" t="s">
        <v>1078</v>
      </c>
      <c r="J367" t="s">
        <v>46</v>
      </c>
      <c r="K367">
        <v>91730</v>
      </c>
      <c r="L367">
        <v>34.088000000000001</v>
      </c>
      <c r="M367">
        <v>-117.58</v>
      </c>
      <c r="N367" t="s">
        <v>1043</v>
      </c>
      <c r="O367" t="s">
        <v>57</v>
      </c>
      <c r="P367" t="s">
        <v>49</v>
      </c>
      <c r="Q367" t="s">
        <v>50</v>
      </c>
      <c r="R367" t="s">
        <v>75</v>
      </c>
      <c r="S367" s="1">
        <v>7280</v>
      </c>
      <c r="T367" s="1">
        <v>7280</v>
      </c>
      <c r="U367">
        <v>0</v>
      </c>
      <c r="V367" s="1">
        <v>7272</v>
      </c>
      <c r="W367">
        <v>0.14000000000000001</v>
      </c>
      <c r="X367">
        <v>0.01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</row>
    <row r="368" spans="1:41" x14ac:dyDescent="0.2">
      <c r="A368">
        <v>2023</v>
      </c>
      <c r="B368">
        <v>104871</v>
      </c>
      <c r="C368">
        <v>17052</v>
      </c>
      <c r="D368" t="s">
        <v>1431</v>
      </c>
      <c r="E368" t="s">
        <v>42</v>
      </c>
      <c r="F368">
        <v>325412</v>
      </c>
      <c r="G368" t="s">
        <v>241</v>
      </c>
      <c r="H368" t="s">
        <v>1432</v>
      </c>
      <c r="I368" t="s">
        <v>1396</v>
      </c>
      <c r="J368" t="s">
        <v>46</v>
      </c>
      <c r="K368">
        <v>94949</v>
      </c>
      <c r="L368">
        <v>38.072000000000003</v>
      </c>
      <c r="M368">
        <v>-122.53400000000001</v>
      </c>
      <c r="N368" t="s">
        <v>1433</v>
      </c>
      <c r="O368" t="s">
        <v>1398</v>
      </c>
      <c r="P368" t="s">
        <v>108</v>
      </c>
      <c r="Q368" t="s">
        <v>109</v>
      </c>
      <c r="R368" t="s">
        <v>75</v>
      </c>
      <c r="S368" s="1">
        <v>11472</v>
      </c>
      <c r="T368" s="1">
        <v>11472</v>
      </c>
      <c r="U368">
        <v>0</v>
      </c>
      <c r="V368" s="1">
        <v>11461</v>
      </c>
      <c r="W368">
        <v>0.22</v>
      </c>
      <c r="X368">
        <v>0.02</v>
      </c>
      <c r="Y368" s="12">
        <v>0</v>
      </c>
      <c r="Z368" s="12">
        <v>12.2</v>
      </c>
      <c r="AA368" s="12">
        <v>28.3</v>
      </c>
      <c r="AB368" s="12">
        <v>0.1</v>
      </c>
      <c r="AC368" s="12">
        <v>1</v>
      </c>
      <c r="AD368" s="12">
        <v>1</v>
      </c>
      <c r="AE368">
        <v>10.9</v>
      </c>
      <c r="AF368">
        <v>7.0000000000000001E-3</v>
      </c>
      <c r="AG368">
        <v>2E-3</v>
      </c>
      <c r="AH368">
        <v>29.9</v>
      </c>
      <c r="AI368">
        <v>790</v>
      </c>
      <c r="AL368">
        <v>0.19500000000000001</v>
      </c>
      <c r="AM368">
        <v>3.9369999999999998</v>
      </c>
      <c r="AN368">
        <v>2.355</v>
      </c>
      <c r="AO368">
        <v>115.533</v>
      </c>
    </row>
    <row r="369" spans="1:41" x14ac:dyDescent="0.2">
      <c r="A369">
        <v>2023</v>
      </c>
      <c r="B369">
        <v>104881</v>
      </c>
      <c r="C369">
        <v>1551</v>
      </c>
      <c r="D369" t="s">
        <v>1434</v>
      </c>
      <c r="E369" t="s">
        <v>42</v>
      </c>
      <c r="F369">
        <v>311411</v>
      </c>
      <c r="G369" t="s">
        <v>1303</v>
      </c>
      <c r="H369" t="s">
        <v>1435</v>
      </c>
      <c r="I369" t="s">
        <v>1436</v>
      </c>
      <c r="J369" t="s">
        <v>46</v>
      </c>
      <c r="K369">
        <v>93616</v>
      </c>
      <c r="L369">
        <v>36.658000000000001</v>
      </c>
      <c r="M369">
        <v>-119.59</v>
      </c>
      <c r="N369" t="s">
        <v>1437</v>
      </c>
      <c r="O369" t="s">
        <v>303</v>
      </c>
      <c r="P369" t="s">
        <v>194</v>
      </c>
      <c r="Q369" t="s">
        <v>195</v>
      </c>
      <c r="R369" t="s">
        <v>75</v>
      </c>
      <c r="S369" s="1">
        <v>7601</v>
      </c>
      <c r="T369" s="1">
        <v>7601</v>
      </c>
      <c r="U369">
        <v>0</v>
      </c>
      <c r="V369" s="1">
        <v>7593</v>
      </c>
      <c r="W369">
        <v>0.14000000000000001</v>
      </c>
      <c r="X369">
        <v>0.01</v>
      </c>
      <c r="Y369" s="12">
        <v>0</v>
      </c>
      <c r="Z369" s="12">
        <v>0.2</v>
      </c>
      <c r="AA369" s="12">
        <v>0.2</v>
      </c>
      <c r="AB369" s="12">
        <v>0.1</v>
      </c>
      <c r="AC369" s="12">
        <v>0.2</v>
      </c>
      <c r="AD369" s="12">
        <v>0.2</v>
      </c>
      <c r="AE369">
        <v>0.312</v>
      </c>
      <c r="AH369">
        <v>6.13</v>
      </c>
      <c r="AI369">
        <v>0.57199999999999995</v>
      </c>
      <c r="AM369">
        <v>1.2E-2</v>
      </c>
      <c r="AN369">
        <v>0.03</v>
      </c>
      <c r="AO369">
        <v>14.35</v>
      </c>
    </row>
    <row r="370" spans="1:41" x14ac:dyDescent="0.2">
      <c r="A370">
        <v>2023</v>
      </c>
      <c r="B370">
        <v>104882</v>
      </c>
      <c r="C370">
        <v>1343</v>
      </c>
      <c r="D370" t="s">
        <v>1438</v>
      </c>
      <c r="E370" t="s">
        <v>42</v>
      </c>
      <c r="F370">
        <v>311423</v>
      </c>
      <c r="G370" t="s">
        <v>490</v>
      </c>
      <c r="H370" t="s">
        <v>1439</v>
      </c>
      <c r="I370" t="s">
        <v>279</v>
      </c>
      <c r="J370" t="s">
        <v>46</v>
      </c>
      <c r="K370">
        <v>93637</v>
      </c>
      <c r="L370">
        <v>36.918999999999997</v>
      </c>
      <c r="M370">
        <v>-120.04600000000001</v>
      </c>
      <c r="N370" t="s">
        <v>1440</v>
      </c>
      <c r="O370" t="s">
        <v>279</v>
      </c>
      <c r="P370" t="s">
        <v>194</v>
      </c>
      <c r="Q370" t="s">
        <v>195</v>
      </c>
      <c r="R370" t="s">
        <v>75</v>
      </c>
      <c r="S370" s="1">
        <v>9394</v>
      </c>
      <c r="T370" s="1">
        <v>9394</v>
      </c>
      <c r="U370">
        <v>0</v>
      </c>
      <c r="V370" s="1">
        <v>9385</v>
      </c>
      <c r="W370">
        <v>0.18</v>
      </c>
      <c r="X370">
        <v>0.02</v>
      </c>
      <c r="Y370" s="12">
        <v>0</v>
      </c>
      <c r="Z370" s="12">
        <v>2.2999999999999998</v>
      </c>
      <c r="AA370" s="12">
        <v>5.3</v>
      </c>
      <c r="AB370" s="12">
        <v>20.7</v>
      </c>
      <c r="AC370" s="12">
        <v>1.1000000000000001</v>
      </c>
      <c r="AD370" s="12">
        <v>1.1000000000000001</v>
      </c>
      <c r="AE370">
        <v>1.03</v>
      </c>
      <c r="AI370">
        <v>2.1800000000000002</v>
      </c>
      <c r="AM370">
        <v>0.06</v>
      </c>
      <c r="AN370">
        <v>9.0860000000000003</v>
      </c>
      <c r="AO370">
        <v>0.97899999999999998</v>
      </c>
    </row>
    <row r="371" spans="1:41" x14ac:dyDescent="0.2">
      <c r="A371">
        <v>2023</v>
      </c>
      <c r="B371">
        <v>104884</v>
      </c>
      <c r="C371">
        <v>110096</v>
      </c>
      <c r="D371" t="s">
        <v>1441</v>
      </c>
      <c r="E371" t="s">
        <v>42</v>
      </c>
      <c r="F371">
        <v>313210</v>
      </c>
      <c r="G371" t="s">
        <v>1442</v>
      </c>
      <c r="H371" t="s">
        <v>1443</v>
      </c>
      <c r="I371" t="s">
        <v>48</v>
      </c>
      <c r="J371" t="s">
        <v>46</v>
      </c>
      <c r="K371">
        <v>90061</v>
      </c>
      <c r="L371">
        <v>33.908000000000001</v>
      </c>
      <c r="M371">
        <v>-118.282</v>
      </c>
      <c r="N371" t="s">
        <v>1444</v>
      </c>
      <c r="O371" t="s">
        <v>48</v>
      </c>
      <c r="P371" t="s">
        <v>49</v>
      </c>
      <c r="Q371" t="s">
        <v>50</v>
      </c>
      <c r="R371" t="s">
        <v>75</v>
      </c>
      <c r="S371" s="1">
        <v>8616</v>
      </c>
      <c r="T371" s="1">
        <v>8616</v>
      </c>
      <c r="U371">
        <v>0</v>
      </c>
      <c r="V371" s="1">
        <v>8607</v>
      </c>
      <c r="W371">
        <v>0.16</v>
      </c>
      <c r="X371">
        <v>0.02</v>
      </c>
      <c r="Y371" s="12">
        <v>0</v>
      </c>
      <c r="Z371" s="12">
        <v>0.5</v>
      </c>
      <c r="AA371" s="12">
        <v>2</v>
      </c>
      <c r="AB371" s="12">
        <v>0</v>
      </c>
      <c r="AC371" s="12">
        <v>0.6</v>
      </c>
      <c r="AD371" s="12">
        <v>0.6</v>
      </c>
      <c r="AE371">
        <v>1.1000000000000001</v>
      </c>
      <c r="AI371">
        <v>2.33</v>
      </c>
      <c r="AM371">
        <v>0.19500000000000001</v>
      </c>
      <c r="AN371">
        <v>0.27400000000000002</v>
      </c>
      <c r="AO371">
        <v>0.53600000000000003</v>
      </c>
    </row>
    <row r="372" spans="1:41" x14ac:dyDescent="0.2">
      <c r="A372">
        <v>2023</v>
      </c>
      <c r="B372">
        <v>104886</v>
      </c>
      <c r="C372">
        <v>31</v>
      </c>
      <c r="D372" t="s">
        <v>1445</v>
      </c>
      <c r="E372" t="s">
        <v>42</v>
      </c>
      <c r="F372">
        <v>212319</v>
      </c>
      <c r="G372" t="s">
        <v>1034</v>
      </c>
      <c r="H372" t="s">
        <v>1446</v>
      </c>
      <c r="I372" t="s">
        <v>1447</v>
      </c>
      <c r="J372" t="s">
        <v>46</v>
      </c>
      <c r="K372">
        <v>95640</v>
      </c>
      <c r="L372">
        <v>38.378</v>
      </c>
      <c r="M372">
        <v>-120.991</v>
      </c>
      <c r="N372" t="s">
        <v>1199</v>
      </c>
      <c r="O372" t="s">
        <v>1200</v>
      </c>
      <c r="P372" t="s">
        <v>1201</v>
      </c>
      <c r="Q372" t="s">
        <v>469</v>
      </c>
      <c r="R372" t="s">
        <v>75</v>
      </c>
      <c r="S372" s="1">
        <v>12485</v>
      </c>
      <c r="T372" s="1">
        <v>12485</v>
      </c>
      <c r="U372">
        <v>0</v>
      </c>
      <c r="V372" s="1">
        <v>12467</v>
      </c>
      <c r="W372">
        <v>0.28000000000000003</v>
      </c>
      <c r="X372">
        <v>0.04</v>
      </c>
      <c r="Y372" s="12">
        <v>0</v>
      </c>
      <c r="Z372" s="12">
        <v>4.2</v>
      </c>
      <c r="AA372" s="12">
        <v>32.700000000000003</v>
      </c>
      <c r="AB372" s="12">
        <v>2.9</v>
      </c>
      <c r="AC372" s="12">
        <v>11.4</v>
      </c>
      <c r="AD372" s="12">
        <v>3.9</v>
      </c>
    </row>
    <row r="373" spans="1:41" x14ac:dyDescent="0.2">
      <c r="A373">
        <v>2023</v>
      </c>
      <c r="B373">
        <v>104887</v>
      </c>
      <c r="C373">
        <v>1319</v>
      </c>
      <c r="D373" t="s">
        <v>1448</v>
      </c>
      <c r="E373" t="s">
        <v>42</v>
      </c>
      <c r="F373">
        <v>311119</v>
      </c>
      <c r="G373" t="s">
        <v>1449</v>
      </c>
      <c r="H373" t="s">
        <v>1450</v>
      </c>
      <c r="I373" t="s">
        <v>421</v>
      </c>
      <c r="J373" t="s">
        <v>46</v>
      </c>
      <c r="K373">
        <v>93230</v>
      </c>
      <c r="L373">
        <v>36.268999999999998</v>
      </c>
      <c r="M373">
        <v>-119.645</v>
      </c>
      <c r="N373" t="s">
        <v>422</v>
      </c>
      <c r="O373" t="s">
        <v>418</v>
      </c>
      <c r="P373" t="s">
        <v>194</v>
      </c>
      <c r="Q373" t="s">
        <v>195</v>
      </c>
      <c r="R373" t="s">
        <v>75</v>
      </c>
      <c r="S373" s="1">
        <v>10209</v>
      </c>
      <c r="T373" s="1">
        <v>10209</v>
      </c>
      <c r="U373">
        <v>0</v>
      </c>
      <c r="V373" s="1">
        <v>10199</v>
      </c>
      <c r="W373">
        <v>0.19</v>
      </c>
      <c r="X373">
        <v>0.02</v>
      </c>
      <c r="Y373" s="12">
        <v>0</v>
      </c>
      <c r="Z373" s="12">
        <v>0.3</v>
      </c>
      <c r="AA373" s="12">
        <v>0.3</v>
      </c>
      <c r="AB373" s="12">
        <v>0.1</v>
      </c>
      <c r="AC373" s="12">
        <v>3.3</v>
      </c>
      <c r="AD373" s="12">
        <v>0.5</v>
      </c>
      <c r="AE373">
        <v>0.55800000000000005</v>
      </c>
      <c r="AG373">
        <v>0</v>
      </c>
      <c r="AI373">
        <v>1.18</v>
      </c>
      <c r="AL373">
        <v>0</v>
      </c>
      <c r="AM373">
        <v>2.5000000000000001E-2</v>
      </c>
      <c r="AN373">
        <v>4.3999999999999997E-2</v>
      </c>
      <c r="AO373">
        <v>0.58399999999999996</v>
      </c>
    </row>
    <row r="374" spans="1:41" x14ac:dyDescent="0.2">
      <c r="A374">
        <v>2023</v>
      </c>
      <c r="B374">
        <v>104888</v>
      </c>
      <c r="C374">
        <v>184301</v>
      </c>
      <c r="D374" t="s">
        <v>1451</v>
      </c>
      <c r="E374" t="s">
        <v>250</v>
      </c>
      <c r="F374">
        <v>211111</v>
      </c>
      <c r="G374" t="s">
        <v>256</v>
      </c>
      <c r="H374" t="s">
        <v>1452</v>
      </c>
      <c r="I374" t="s">
        <v>48</v>
      </c>
      <c r="J374" t="s">
        <v>46</v>
      </c>
      <c r="K374">
        <v>91750</v>
      </c>
      <c r="L374">
        <v>34.005000000000003</v>
      </c>
      <c r="M374">
        <v>-118.371</v>
      </c>
      <c r="N374" t="s">
        <v>1453</v>
      </c>
      <c r="O374" t="s">
        <v>48</v>
      </c>
      <c r="P374" t="s">
        <v>49</v>
      </c>
      <c r="Q374" t="s">
        <v>50</v>
      </c>
      <c r="R374" t="s">
        <v>75</v>
      </c>
      <c r="S374" s="1">
        <v>14406</v>
      </c>
      <c r="T374" s="1">
        <v>14406</v>
      </c>
      <c r="U374">
        <v>0</v>
      </c>
      <c r="V374" s="1">
        <v>14077</v>
      </c>
      <c r="W374">
        <v>12.98</v>
      </c>
      <c r="X374">
        <v>0.02</v>
      </c>
      <c r="Y374" s="12">
        <v>0</v>
      </c>
      <c r="Z374" s="12">
        <v>14.8</v>
      </c>
      <c r="AA374" s="12">
        <v>1.6</v>
      </c>
      <c r="AB374" s="12">
        <v>0</v>
      </c>
      <c r="AC374" s="12">
        <v>0.2</v>
      </c>
      <c r="AD374" s="12">
        <v>0.2</v>
      </c>
      <c r="AE374">
        <v>98.6</v>
      </c>
      <c r="AF374">
        <v>0</v>
      </c>
      <c r="AI374">
        <v>14.9</v>
      </c>
      <c r="AM374">
        <v>0.69899999999999995</v>
      </c>
      <c r="AN374">
        <v>0.63300000000000001</v>
      </c>
      <c r="AO374">
        <v>23.440999999999999</v>
      </c>
    </row>
    <row r="375" spans="1:41" x14ac:dyDescent="0.2">
      <c r="A375">
        <v>2023</v>
      </c>
      <c r="B375">
        <v>104892</v>
      </c>
      <c r="C375">
        <v>16004</v>
      </c>
      <c r="D375" t="s">
        <v>1454</v>
      </c>
      <c r="E375" t="s">
        <v>42</v>
      </c>
      <c r="F375">
        <v>311423</v>
      </c>
      <c r="G375" t="s">
        <v>490</v>
      </c>
      <c r="H375" t="s">
        <v>1455</v>
      </c>
      <c r="I375" t="s">
        <v>213</v>
      </c>
      <c r="J375" t="s">
        <v>46</v>
      </c>
      <c r="K375">
        <v>95993</v>
      </c>
      <c r="L375">
        <v>39.137</v>
      </c>
      <c r="M375">
        <v>-121.64</v>
      </c>
      <c r="N375" t="s">
        <v>214</v>
      </c>
      <c r="O375" t="s">
        <v>215</v>
      </c>
      <c r="P375" t="s">
        <v>216</v>
      </c>
      <c r="Q375" t="s">
        <v>74</v>
      </c>
      <c r="R375" t="s">
        <v>75</v>
      </c>
      <c r="S375" s="1">
        <v>16936</v>
      </c>
      <c r="T375" s="1">
        <v>16936</v>
      </c>
      <c r="U375">
        <v>0</v>
      </c>
      <c r="V375" s="1">
        <v>16918</v>
      </c>
      <c r="W375">
        <v>0.32</v>
      </c>
      <c r="X375">
        <v>0.03</v>
      </c>
      <c r="Y375" s="12">
        <v>0</v>
      </c>
      <c r="Z375" s="12">
        <v>2.2000000000000002</v>
      </c>
      <c r="AA375" s="12">
        <v>7.2</v>
      </c>
      <c r="AB375" s="12">
        <v>0.7</v>
      </c>
      <c r="AC375" s="12">
        <v>3</v>
      </c>
      <c r="AD375" s="12">
        <v>3</v>
      </c>
      <c r="AE375">
        <v>4.4400000000000004</v>
      </c>
      <c r="AH375">
        <v>8.83</v>
      </c>
      <c r="AI375">
        <v>9.41</v>
      </c>
      <c r="AM375">
        <v>0.2</v>
      </c>
      <c r="AN375">
        <v>0.17799999999999999</v>
      </c>
      <c r="AO375">
        <v>21.977</v>
      </c>
    </row>
    <row r="376" spans="1:41" x14ac:dyDescent="0.2">
      <c r="A376">
        <v>2023</v>
      </c>
      <c r="B376">
        <v>104895</v>
      </c>
      <c r="C376">
        <v>15794</v>
      </c>
      <c r="D376" t="s">
        <v>1456</v>
      </c>
      <c r="E376" t="s">
        <v>42</v>
      </c>
      <c r="F376">
        <v>311423</v>
      </c>
      <c r="G376" t="s">
        <v>490</v>
      </c>
      <c r="H376" t="s">
        <v>1457</v>
      </c>
      <c r="I376" t="s">
        <v>1458</v>
      </c>
      <c r="J376" t="s">
        <v>46</v>
      </c>
      <c r="K376">
        <v>90249</v>
      </c>
      <c r="L376">
        <v>33.902999999999999</v>
      </c>
      <c r="M376">
        <v>-118.31399999999999</v>
      </c>
      <c r="N376" t="s">
        <v>1459</v>
      </c>
      <c r="O376" t="s">
        <v>48</v>
      </c>
      <c r="P376" t="s">
        <v>49</v>
      </c>
      <c r="Q376" t="s">
        <v>50</v>
      </c>
      <c r="R376" t="s">
        <v>75</v>
      </c>
      <c r="S376" s="1">
        <v>11453</v>
      </c>
      <c r="T376" s="1">
        <v>11453</v>
      </c>
      <c r="U376">
        <v>0</v>
      </c>
      <c r="V376" s="1">
        <v>11441</v>
      </c>
      <c r="W376">
        <v>0.22</v>
      </c>
      <c r="X376">
        <v>0.02</v>
      </c>
      <c r="Y376" s="12">
        <v>0</v>
      </c>
      <c r="Z376" s="12">
        <v>5</v>
      </c>
      <c r="AA376" s="12">
        <v>1.3</v>
      </c>
      <c r="AB376" s="12">
        <v>0.1</v>
      </c>
      <c r="AC376" s="12">
        <v>1.9</v>
      </c>
      <c r="AD376" s="12">
        <v>1.9</v>
      </c>
      <c r="AE376">
        <v>1.65</v>
      </c>
      <c r="AI376">
        <v>3.51</v>
      </c>
      <c r="AM376">
        <v>9.6000000000000002E-2</v>
      </c>
      <c r="AN376">
        <v>0.10100000000000001</v>
      </c>
      <c r="AO376">
        <v>0.77900000000000003</v>
      </c>
    </row>
    <row r="377" spans="1:41" x14ac:dyDescent="0.2">
      <c r="A377">
        <v>2023</v>
      </c>
      <c r="B377">
        <v>104899</v>
      </c>
      <c r="D377" t="s">
        <v>1460</v>
      </c>
      <c r="E377" t="s">
        <v>42</v>
      </c>
      <c r="F377">
        <v>111421</v>
      </c>
      <c r="G377" t="s">
        <v>1461</v>
      </c>
      <c r="H377" t="s">
        <v>1462</v>
      </c>
      <c r="I377" t="s">
        <v>865</v>
      </c>
      <c r="J377" t="s">
        <v>46</v>
      </c>
      <c r="K377">
        <v>93907</v>
      </c>
      <c r="L377">
        <v>36.734999999999999</v>
      </c>
      <c r="M377">
        <v>-121.676</v>
      </c>
      <c r="N377" t="s">
        <v>1463</v>
      </c>
      <c r="O377" t="s">
        <v>656</v>
      </c>
      <c r="P377" t="s">
        <v>187</v>
      </c>
      <c r="Q377" t="s">
        <v>188</v>
      </c>
      <c r="R377" t="s">
        <v>75</v>
      </c>
      <c r="S377" s="1">
        <v>7617</v>
      </c>
      <c r="T377" s="1">
        <v>7617</v>
      </c>
      <c r="U377">
        <v>0</v>
      </c>
      <c r="V377" s="1">
        <v>7609</v>
      </c>
      <c r="W377">
        <v>0.14000000000000001</v>
      </c>
      <c r="X377">
        <v>0.01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</row>
    <row r="378" spans="1:41" x14ac:dyDescent="0.2">
      <c r="A378">
        <v>2023</v>
      </c>
      <c r="B378">
        <v>104901</v>
      </c>
      <c r="C378">
        <v>6971</v>
      </c>
      <c r="D378" t="s">
        <v>1464</v>
      </c>
      <c r="E378" t="s">
        <v>42</v>
      </c>
      <c r="F378">
        <v>325199</v>
      </c>
      <c r="G378" t="s">
        <v>354</v>
      </c>
      <c r="H378" t="s">
        <v>1465</v>
      </c>
      <c r="I378" t="s">
        <v>247</v>
      </c>
      <c r="J378" t="s">
        <v>46</v>
      </c>
      <c r="K378">
        <v>93311</v>
      </c>
      <c r="L378">
        <v>35.177999999999997</v>
      </c>
      <c r="M378">
        <v>-119.161</v>
      </c>
      <c r="N378" t="s">
        <v>192</v>
      </c>
      <c r="O378" t="s">
        <v>193</v>
      </c>
      <c r="P378" t="s">
        <v>194</v>
      </c>
      <c r="Q378" t="s">
        <v>195</v>
      </c>
      <c r="R378" t="s">
        <v>75</v>
      </c>
      <c r="S378" s="1">
        <v>20516</v>
      </c>
      <c r="T378" s="1">
        <v>20516</v>
      </c>
      <c r="U378">
        <v>0</v>
      </c>
      <c r="V378" s="1">
        <v>20495</v>
      </c>
      <c r="W378">
        <v>0.39</v>
      </c>
      <c r="X378">
        <v>0.04</v>
      </c>
      <c r="Y378" s="12">
        <v>0</v>
      </c>
      <c r="Z378" s="12">
        <v>1.2</v>
      </c>
      <c r="AA378" s="12">
        <v>1.5</v>
      </c>
      <c r="AB378" s="12">
        <v>0.6</v>
      </c>
      <c r="AC378" s="12">
        <v>1.2</v>
      </c>
      <c r="AD378" s="12">
        <v>1.2</v>
      </c>
      <c r="AE378">
        <v>0.92900000000000005</v>
      </c>
      <c r="AI378">
        <v>1.97</v>
      </c>
      <c r="AM378">
        <v>7.9000000000000001E-2</v>
      </c>
      <c r="AN378">
        <v>8.6999999999999994E-2</v>
      </c>
      <c r="AO378">
        <v>0.47899999999999998</v>
      </c>
    </row>
    <row r="379" spans="1:41" x14ac:dyDescent="0.2">
      <c r="A379">
        <v>2023</v>
      </c>
      <c r="B379">
        <v>104908</v>
      </c>
      <c r="C379">
        <v>7122</v>
      </c>
      <c r="D379" t="s">
        <v>1466</v>
      </c>
      <c r="E379" t="s">
        <v>42</v>
      </c>
      <c r="F379">
        <v>424130</v>
      </c>
      <c r="G379" t="s">
        <v>1467</v>
      </c>
      <c r="H379" t="s">
        <v>1468</v>
      </c>
      <c r="I379" t="s">
        <v>253</v>
      </c>
      <c r="J379" t="s">
        <v>46</v>
      </c>
      <c r="K379">
        <v>93263</v>
      </c>
      <c r="L379">
        <v>35.493000000000002</v>
      </c>
      <c r="M379">
        <v>-119.172</v>
      </c>
      <c r="N379" t="s">
        <v>1217</v>
      </c>
      <c r="O379" t="s">
        <v>193</v>
      </c>
      <c r="P379" t="s">
        <v>194</v>
      </c>
      <c r="Q379" t="s">
        <v>195</v>
      </c>
      <c r="R379" t="s">
        <v>75</v>
      </c>
      <c r="S379" s="1">
        <v>11418</v>
      </c>
      <c r="T379" s="1">
        <v>11418</v>
      </c>
      <c r="U379">
        <v>0</v>
      </c>
      <c r="V379" s="1">
        <v>11407</v>
      </c>
      <c r="W379">
        <v>0.22</v>
      </c>
      <c r="X379">
        <v>0.02</v>
      </c>
      <c r="Y379" s="12">
        <v>0</v>
      </c>
      <c r="Z379" s="12">
        <v>0.1</v>
      </c>
      <c r="AA379" s="12">
        <v>0.1</v>
      </c>
      <c r="AB379" s="12">
        <v>0</v>
      </c>
      <c r="AC379" s="12">
        <v>0.1</v>
      </c>
      <c r="AD379" s="12">
        <v>0.1</v>
      </c>
      <c r="AE379">
        <v>0.59299999999999997</v>
      </c>
      <c r="AG379">
        <v>0</v>
      </c>
      <c r="AI379">
        <v>0.26500000000000001</v>
      </c>
      <c r="AL379">
        <v>8.0000000000000002E-3</v>
      </c>
      <c r="AM379">
        <v>1.7000000000000001E-2</v>
      </c>
      <c r="AN379">
        <v>1.9E-2</v>
      </c>
      <c r="AO379">
        <v>0.624</v>
      </c>
    </row>
    <row r="380" spans="1:41" x14ac:dyDescent="0.2">
      <c r="A380">
        <v>2023</v>
      </c>
      <c r="B380">
        <v>104910</v>
      </c>
      <c r="D380" t="s">
        <v>1469</v>
      </c>
      <c r="E380" t="s">
        <v>42</v>
      </c>
      <c r="F380">
        <v>311511</v>
      </c>
      <c r="G380" t="s">
        <v>1023</v>
      </c>
      <c r="H380" t="s">
        <v>1470</v>
      </c>
      <c r="I380" t="s">
        <v>922</v>
      </c>
      <c r="J380" t="s">
        <v>46</v>
      </c>
      <c r="K380">
        <v>91746</v>
      </c>
      <c r="L380">
        <v>34.026000000000003</v>
      </c>
      <c r="M380">
        <v>-117.973</v>
      </c>
      <c r="N380" t="s">
        <v>923</v>
      </c>
      <c r="O380" t="s">
        <v>48</v>
      </c>
      <c r="P380" t="s">
        <v>49</v>
      </c>
      <c r="Q380" t="s">
        <v>50</v>
      </c>
      <c r="R380" t="s">
        <v>75</v>
      </c>
      <c r="S380" s="1">
        <v>13258</v>
      </c>
      <c r="T380" s="1">
        <v>13258</v>
      </c>
      <c r="U380">
        <v>0</v>
      </c>
      <c r="V380" s="1">
        <v>13244</v>
      </c>
      <c r="W380">
        <v>0.25</v>
      </c>
      <c r="X380">
        <v>0.03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</row>
    <row r="381" spans="1:41" x14ac:dyDescent="0.2">
      <c r="A381">
        <v>2023</v>
      </c>
      <c r="B381">
        <v>104911</v>
      </c>
      <c r="C381">
        <v>3461</v>
      </c>
      <c r="D381" t="s">
        <v>1471</v>
      </c>
      <c r="E381" t="s">
        <v>42</v>
      </c>
      <c r="F381">
        <v>313230</v>
      </c>
      <c r="G381" t="s">
        <v>1472</v>
      </c>
      <c r="H381" t="s">
        <v>1473</v>
      </c>
      <c r="I381" t="s">
        <v>253</v>
      </c>
      <c r="J381" t="s">
        <v>46</v>
      </c>
      <c r="K381">
        <v>93263</v>
      </c>
      <c r="L381">
        <v>35.494</v>
      </c>
      <c r="M381">
        <v>-119.16</v>
      </c>
      <c r="N381" t="s">
        <v>1217</v>
      </c>
      <c r="O381" t="s">
        <v>193</v>
      </c>
      <c r="P381" t="s">
        <v>194</v>
      </c>
      <c r="Q381" t="s">
        <v>195</v>
      </c>
      <c r="R381" t="s">
        <v>75</v>
      </c>
      <c r="S381" s="1">
        <v>9758</v>
      </c>
      <c r="T381" s="1">
        <v>9758</v>
      </c>
      <c r="U381">
        <v>0</v>
      </c>
      <c r="V381" s="1">
        <v>9748</v>
      </c>
      <c r="W381">
        <v>0.18</v>
      </c>
      <c r="X381">
        <v>0.02</v>
      </c>
      <c r="Y381" s="12">
        <v>0</v>
      </c>
      <c r="Z381" s="12">
        <v>2</v>
      </c>
      <c r="AA381" s="12">
        <v>23.9</v>
      </c>
      <c r="AB381" s="12">
        <v>0.1</v>
      </c>
      <c r="AC381" s="12">
        <v>0.7</v>
      </c>
      <c r="AD381" s="12">
        <v>0.7</v>
      </c>
      <c r="AH381">
        <v>0.217</v>
      </c>
      <c r="AN381">
        <v>1E-3</v>
      </c>
      <c r="AO381">
        <v>0.501</v>
      </c>
    </row>
    <row r="382" spans="1:41" x14ac:dyDescent="0.2">
      <c r="A382">
        <v>2023</v>
      </c>
      <c r="B382">
        <v>104912</v>
      </c>
      <c r="C382">
        <v>282</v>
      </c>
      <c r="D382" t="s">
        <v>1474</v>
      </c>
      <c r="E382" t="s">
        <v>42</v>
      </c>
      <c r="F382">
        <v>311611</v>
      </c>
      <c r="G382" t="s">
        <v>1338</v>
      </c>
      <c r="H382" t="s">
        <v>1475</v>
      </c>
      <c r="I382" t="s">
        <v>451</v>
      </c>
      <c r="J382" t="s">
        <v>46</v>
      </c>
      <c r="K382">
        <v>92227</v>
      </c>
      <c r="L382">
        <v>32.997</v>
      </c>
      <c r="M382">
        <v>-115.52</v>
      </c>
      <c r="N382" t="s">
        <v>1476</v>
      </c>
      <c r="O382" t="s">
        <v>453</v>
      </c>
      <c r="P382" t="s">
        <v>454</v>
      </c>
      <c r="Q382" t="s">
        <v>455</v>
      </c>
      <c r="R382" t="s">
        <v>75</v>
      </c>
      <c r="S382" s="1">
        <v>16347</v>
      </c>
      <c r="T382" s="1">
        <v>16347</v>
      </c>
      <c r="U382">
        <v>0</v>
      </c>
      <c r="V382" s="1">
        <v>16330</v>
      </c>
      <c r="W382">
        <v>0.31</v>
      </c>
      <c r="X382">
        <v>0.03</v>
      </c>
      <c r="Y382" s="12">
        <v>0</v>
      </c>
      <c r="Z382" s="12">
        <v>0</v>
      </c>
      <c r="AA382" s="12">
        <v>7.2</v>
      </c>
      <c r="AB382" s="12">
        <v>0</v>
      </c>
      <c r="AC382" s="12">
        <v>0.8</v>
      </c>
      <c r="AD382" s="12">
        <v>0.2</v>
      </c>
    </row>
    <row r="383" spans="1:41" x14ac:dyDescent="0.2">
      <c r="A383">
        <v>2023</v>
      </c>
      <c r="B383">
        <v>104913</v>
      </c>
      <c r="D383" t="s">
        <v>1477</v>
      </c>
      <c r="E383" t="s">
        <v>42</v>
      </c>
      <c r="F383">
        <v>321219</v>
      </c>
      <c r="G383" t="s">
        <v>1196</v>
      </c>
      <c r="H383" t="s">
        <v>1478</v>
      </c>
      <c r="I383" t="s">
        <v>671</v>
      </c>
      <c r="J383" t="s">
        <v>46</v>
      </c>
      <c r="K383">
        <v>95988</v>
      </c>
      <c r="L383">
        <v>39.521999999999998</v>
      </c>
      <c r="M383">
        <v>-122.238</v>
      </c>
      <c r="N383" t="s">
        <v>1479</v>
      </c>
      <c r="O383" t="s">
        <v>902</v>
      </c>
      <c r="P383" t="s">
        <v>903</v>
      </c>
      <c r="Q383" t="s">
        <v>74</v>
      </c>
      <c r="R383" t="s">
        <v>75</v>
      </c>
      <c r="S383" s="1">
        <v>3330</v>
      </c>
      <c r="T383" s="1">
        <v>3330</v>
      </c>
      <c r="U383">
        <v>0</v>
      </c>
      <c r="V383" s="1">
        <v>3327</v>
      </c>
      <c r="W383">
        <v>0.06</v>
      </c>
      <c r="X383">
        <v>0.01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</row>
    <row r="384" spans="1:41" x14ac:dyDescent="0.2">
      <c r="A384">
        <v>2023</v>
      </c>
      <c r="B384">
        <v>104914</v>
      </c>
      <c r="C384">
        <v>148928</v>
      </c>
      <c r="D384" t="s">
        <v>1480</v>
      </c>
      <c r="E384" t="s">
        <v>42</v>
      </c>
      <c r="F384">
        <v>313310</v>
      </c>
      <c r="G384" t="s">
        <v>1280</v>
      </c>
      <c r="H384" t="s">
        <v>1481</v>
      </c>
      <c r="I384" t="s">
        <v>1374</v>
      </c>
      <c r="J384" t="s">
        <v>46</v>
      </c>
      <c r="K384">
        <v>90670</v>
      </c>
      <c r="L384">
        <v>33.893999999999998</v>
      </c>
      <c r="M384">
        <v>-118.038</v>
      </c>
      <c r="N384" t="s">
        <v>1482</v>
      </c>
      <c r="O384" t="s">
        <v>48</v>
      </c>
      <c r="P384" t="s">
        <v>49</v>
      </c>
      <c r="Q384" t="s">
        <v>50</v>
      </c>
      <c r="R384" t="s">
        <v>75</v>
      </c>
      <c r="S384" s="1">
        <v>4954</v>
      </c>
      <c r="T384" s="1">
        <v>4954</v>
      </c>
      <c r="U384">
        <v>0</v>
      </c>
      <c r="V384" s="1">
        <v>4949</v>
      </c>
      <c r="W384">
        <v>0.09</v>
      </c>
      <c r="X384">
        <v>0.01</v>
      </c>
      <c r="Y384" s="12">
        <v>0</v>
      </c>
      <c r="Z384" s="12">
        <v>0.3</v>
      </c>
      <c r="AA384" s="12">
        <v>5.2</v>
      </c>
      <c r="AB384" s="12">
        <v>0</v>
      </c>
      <c r="AC384" s="12">
        <v>0.3</v>
      </c>
      <c r="AD384" s="12">
        <v>0.3</v>
      </c>
      <c r="AE384">
        <v>0.63300000000000001</v>
      </c>
      <c r="AI384">
        <v>1.34</v>
      </c>
      <c r="AM384">
        <v>0.11</v>
      </c>
      <c r="AN384">
        <v>0.155</v>
      </c>
      <c r="AO384">
        <v>0.307</v>
      </c>
    </row>
    <row r="385" spans="1:41" x14ac:dyDescent="0.2">
      <c r="A385">
        <v>2023</v>
      </c>
      <c r="B385">
        <v>104916</v>
      </c>
      <c r="D385" t="s">
        <v>1483</v>
      </c>
      <c r="E385" t="s">
        <v>42</v>
      </c>
      <c r="F385">
        <v>311314</v>
      </c>
      <c r="G385" t="s">
        <v>1484</v>
      </c>
      <c r="H385" t="s">
        <v>1485</v>
      </c>
      <c r="I385" t="s">
        <v>126</v>
      </c>
      <c r="J385" t="s">
        <v>46</v>
      </c>
      <c r="K385">
        <v>92154</v>
      </c>
      <c r="L385">
        <v>32.558999999999997</v>
      </c>
      <c r="M385">
        <v>-116.925</v>
      </c>
      <c r="N385" t="s">
        <v>1486</v>
      </c>
      <c r="O385" t="s">
        <v>126</v>
      </c>
      <c r="P385" t="s">
        <v>127</v>
      </c>
      <c r="Q385" t="s">
        <v>126</v>
      </c>
      <c r="R385" t="s">
        <v>75</v>
      </c>
      <c r="S385" s="1">
        <v>16994</v>
      </c>
      <c r="T385" s="1">
        <v>16994</v>
      </c>
      <c r="U385">
        <v>0</v>
      </c>
      <c r="V385" s="1">
        <v>16976</v>
      </c>
      <c r="W385">
        <v>0.32</v>
      </c>
      <c r="X385">
        <v>0.03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</row>
    <row r="386" spans="1:41" x14ac:dyDescent="0.2">
      <c r="A386">
        <v>2023</v>
      </c>
      <c r="B386">
        <v>104917</v>
      </c>
      <c r="C386">
        <v>181667</v>
      </c>
      <c r="D386" t="s">
        <v>1487</v>
      </c>
      <c r="E386" t="s">
        <v>92</v>
      </c>
      <c r="F386">
        <v>325120</v>
      </c>
      <c r="G386" t="s">
        <v>93</v>
      </c>
      <c r="H386" t="s">
        <v>1488</v>
      </c>
      <c r="I386" t="s">
        <v>147</v>
      </c>
      <c r="J386" t="s">
        <v>46</v>
      </c>
      <c r="K386">
        <v>90504</v>
      </c>
      <c r="L386">
        <v>33.851999999999997</v>
      </c>
      <c r="M386">
        <v>-118.331</v>
      </c>
      <c r="N386" t="s">
        <v>148</v>
      </c>
      <c r="O386" t="s">
        <v>48</v>
      </c>
      <c r="P386" t="s">
        <v>49</v>
      </c>
      <c r="Q386" t="s">
        <v>50</v>
      </c>
      <c r="R386" t="s">
        <v>51</v>
      </c>
      <c r="S386" s="1">
        <v>886106</v>
      </c>
      <c r="T386" s="1">
        <v>886106</v>
      </c>
      <c r="U386">
        <v>0</v>
      </c>
      <c r="V386" s="1">
        <v>885387</v>
      </c>
      <c r="W386">
        <v>8.4499999999999993</v>
      </c>
      <c r="X386">
        <v>1.7</v>
      </c>
      <c r="Y386" s="12">
        <v>886106</v>
      </c>
      <c r="Z386" s="12">
        <v>530.5</v>
      </c>
      <c r="AA386" s="12">
        <v>428.5</v>
      </c>
      <c r="AB386" s="12">
        <v>199.8</v>
      </c>
      <c r="AC386" s="12">
        <v>99.7</v>
      </c>
      <c r="AD386" s="12">
        <v>90.7</v>
      </c>
      <c r="AE386" s="1">
        <v>2631</v>
      </c>
      <c r="AF386">
        <v>132</v>
      </c>
      <c r="AG386">
        <v>0.69299999999999995</v>
      </c>
      <c r="AH386">
        <v>87.6</v>
      </c>
      <c r="AI386" s="1">
        <v>11085</v>
      </c>
      <c r="AJ386" s="1">
        <v>6756</v>
      </c>
      <c r="AK386" s="1">
        <v>3932</v>
      </c>
      <c r="AL386">
        <v>148</v>
      </c>
      <c r="AM386">
        <v>444.166</v>
      </c>
      <c r="AN386">
        <v>861.28200000000004</v>
      </c>
      <c r="AO386" s="2">
        <v>4682.45</v>
      </c>
    </row>
    <row r="387" spans="1:41" x14ac:dyDescent="0.2">
      <c r="A387">
        <v>2023</v>
      </c>
      <c r="B387">
        <v>104930</v>
      </c>
      <c r="D387" t="s">
        <v>1489</v>
      </c>
      <c r="E387" t="s">
        <v>250</v>
      </c>
      <c r="F387">
        <v>211111</v>
      </c>
      <c r="G387" t="s">
        <v>256</v>
      </c>
      <c r="H387" t="s">
        <v>1490</v>
      </c>
      <c r="I387" t="s">
        <v>247</v>
      </c>
      <c r="J387" t="s">
        <v>46</v>
      </c>
      <c r="K387">
        <v>93309</v>
      </c>
      <c r="L387">
        <v>35.384</v>
      </c>
      <c r="M387">
        <v>-119.063</v>
      </c>
      <c r="N387" t="s">
        <v>445</v>
      </c>
      <c r="O387" t="s">
        <v>193</v>
      </c>
      <c r="P387" t="s">
        <v>1491</v>
      </c>
      <c r="Q387" t="s">
        <v>195</v>
      </c>
      <c r="R387" t="s">
        <v>75</v>
      </c>
      <c r="S387" s="1">
        <v>9351</v>
      </c>
      <c r="T387" s="1">
        <v>9351</v>
      </c>
      <c r="U387">
        <v>0</v>
      </c>
      <c r="V387" s="1">
        <v>8470</v>
      </c>
      <c r="W387">
        <v>35.08</v>
      </c>
      <c r="X387">
        <v>0.02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</row>
    <row r="388" spans="1:41" x14ac:dyDescent="0.2">
      <c r="A388">
        <v>2023</v>
      </c>
      <c r="B388">
        <v>104931</v>
      </c>
      <c r="C388">
        <v>548</v>
      </c>
      <c r="D388" t="s">
        <v>1492</v>
      </c>
      <c r="E388" t="s">
        <v>42</v>
      </c>
      <c r="F388">
        <v>221320</v>
      </c>
      <c r="G388" t="s">
        <v>122</v>
      </c>
      <c r="H388" t="s">
        <v>1493</v>
      </c>
      <c r="I388" t="s">
        <v>392</v>
      </c>
      <c r="J388" t="s">
        <v>46</v>
      </c>
      <c r="K388">
        <v>93274</v>
      </c>
      <c r="L388">
        <v>36.183999999999997</v>
      </c>
      <c r="M388">
        <v>-119.367</v>
      </c>
      <c r="N388" t="s">
        <v>1126</v>
      </c>
      <c r="O388" t="s">
        <v>392</v>
      </c>
      <c r="P388" t="s">
        <v>1491</v>
      </c>
      <c r="Q388" t="s">
        <v>195</v>
      </c>
      <c r="R388" t="s">
        <v>75</v>
      </c>
      <c r="S388" s="1">
        <v>9325</v>
      </c>
      <c r="T388" s="1">
        <v>9325</v>
      </c>
      <c r="U388">
        <v>0</v>
      </c>
      <c r="V388" s="1">
        <v>9316</v>
      </c>
      <c r="W388">
        <v>0.18</v>
      </c>
      <c r="X388">
        <v>0.02</v>
      </c>
      <c r="Y388" s="12">
        <v>0</v>
      </c>
      <c r="Z388" s="12">
        <v>0.7</v>
      </c>
      <c r="AA388" s="12">
        <v>2.6</v>
      </c>
      <c r="AB388" s="12">
        <v>3.1</v>
      </c>
      <c r="AC388" s="12">
        <v>0.3</v>
      </c>
      <c r="AD388" s="12">
        <v>0.3</v>
      </c>
      <c r="AE388">
        <v>0</v>
      </c>
      <c r="AH388">
        <v>45.3</v>
      </c>
      <c r="AI388">
        <v>90.6</v>
      </c>
      <c r="AK388">
        <v>589</v>
      </c>
      <c r="AM388">
        <v>2.7789999999999999</v>
      </c>
      <c r="AN388">
        <v>1.349</v>
      </c>
      <c r="AO388">
        <v>117.822</v>
      </c>
    </row>
    <row r="389" spans="1:41" x14ac:dyDescent="0.2">
      <c r="A389">
        <v>2023</v>
      </c>
      <c r="B389">
        <v>104932</v>
      </c>
      <c r="C389">
        <v>14049</v>
      </c>
      <c r="D389" t="s">
        <v>1494</v>
      </c>
      <c r="E389" t="s">
        <v>42</v>
      </c>
      <c r="F389">
        <v>311824</v>
      </c>
      <c r="G389" t="s">
        <v>1106</v>
      </c>
      <c r="H389" t="s">
        <v>1495</v>
      </c>
      <c r="I389" t="s">
        <v>243</v>
      </c>
      <c r="J389" t="s">
        <v>46</v>
      </c>
      <c r="K389">
        <v>92606</v>
      </c>
      <c r="L389">
        <v>33.698</v>
      </c>
      <c r="M389">
        <v>-117.842</v>
      </c>
      <c r="N389" t="s">
        <v>244</v>
      </c>
      <c r="O389" t="s">
        <v>167</v>
      </c>
      <c r="P389" t="s">
        <v>49</v>
      </c>
      <c r="Q389" t="s">
        <v>50</v>
      </c>
      <c r="R389" t="s">
        <v>75</v>
      </c>
      <c r="S389" s="1">
        <v>10985</v>
      </c>
      <c r="T389" s="1">
        <v>10985</v>
      </c>
      <c r="U389">
        <v>0</v>
      </c>
      <c r="V389" s="1">
        <v>10974</v>
      </c>
      <c r="W389">
        <v>0.21</v>
      </c>
      <c r="X389">
        <v>0.02</v>
      </c>
      <c r="Y389" s="12">
        <v>0</v>
      </c>
      <c r="Z389" s="12">
        <v>5.3</v>
      </c>
      <c r="AA389" s="12">
        <v>2.6</v>
      </c>
      <c r="AB389" s="12">
        <v>0.1</v>
      </c>
      <c r="AC389" s="12">
        <v>2</v>
      </c>
      <c r="AD389" s="12">
        <v>2</v>
      </c>
      <c r="AE389">
        <v>1.61</v>
      </c>
      <c r="AI389">
        <v>3.42</v>
      </c>
      <c r="AM389">
        <v>0.436</v>
      </c>
      <c r="AN389">
        <v>0.115</v>
      </c>
      <c r="AO389">
        <v>11.36</v>
      </c>
    </row>
    <row r="390" spans="1:41" x14ac:dyDescent="0.2">
      <c r="A390">
        <v>2023</v>
      </c>
      <c r="B390">
        <v>104934</v>
      </c>
      <c r="D390" t="s">
        <v>1496</v>
      </c>
      <c r="E390" t="s">
        <v>42</v>
      </c>
      <c r="F390">
        <v>111419</v>
      </c>
      <c r="G390" t="s">
        <v>1045</v>
      </c>
      <c r="H390" t="s">
        <v>1497</v>
      </c>
      <c r="I390" t="s">
        <v>1498</v>
      </c>
      <c r="J390" t="s">
        <v>46</v>
      </c>
      <c r="K390">
        <v>93930</v>
      </c>
      <c r="L390">
        <v>36.225000000000001</v>
      </c>
      <c r="M390">
        <v>-121.122</v>
      </c>
      <c r="N390" t="s">
        <v>1499</v>
      </c>
      <c r="O390" t="s">
        <v>656</v>
      </c>
      <c r="P390" t="s">
        <v>187</v>
      </c>
      <c r="Q390" t="s">
        <v>188</v>
      </c>
      <c r="R390" t="s">
        <v>75</v>
      </c>
      <c r="S390" s="1">
        <v>13036</v>
      </c>
      <c r="T390" s="1">
        <v>13036</v>
      </c>
      <c r="U390">
        <v>0</v>
      </c>
      <c r="V390" s="1">
        <v>13023</v>
      </c>
      <c r="W390">
        <v>0.25</v>
      </c>
      <c r="X390">
        <v>0.03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</row>
    <row r="391" spans="1:41" x14ac:dyDescent="0.2">
      <c r="A391">
        <v>2023</v>
      </c>
      <c r="B391">
        <v>104943</v>
      </c>
      <c r="D391" t="s">
        <v>1500</v>
      </c>
      <c r="E391" t="s">
        <v>250</v>
      </c>
      <c r="F391">
        <v>486210</v>
      </c>
      <c r="G391" t="s">
        <v>270</v>
      </c>
      <c r="H391" t="s">
        <v>1501</v>
      </c>
      <c r="I391" t="s">
        <v>1502</v>
      </c>
      <c r="J391" t="s">
        <v>46</v>
      </c>
      <c r="K391">
        <v>96116</v>
      </c>
      <c r="L391">
        <v>41.296999999999997</v>
      </c>
      <c r="M391">
        <v>-120.509</v>
      </c>
      <c r="N391" t="s">
        <v>1503</v>
      </c>
      <c r="O391" t="s">
        <v>847</v>
      </c>
      <c r="P391" t="s">
        <v>848</v>
      </c>
      <c r="Q391" t="s">
        <v>751</v>
      </c>
      <c r="R391" t="s">
        <v>75</v>
      </c>
      <c r="S391" s="1">
        <v>10478</v>
      </c>
      <c r="T391" s="1">
        <v>10478</v>
      </c>
      <c r="U391">
        <v>0</v>
      </c>
      <c r="V391" s="1">
        <v>6700</v>
      </c>
      <c r="W391">
        <v>150.94</v>
      </c>
      <c r="X391">
        <v>0.01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>
        <v>0</v>
      </c>
      <c r="AI391">
        <v>0</v>
      </c>
      <c r="AL391">
        <v>0</v>
      </c>
      <c r="AM391">
        <v>0</v>
      </c>
      <c r="AN391">
        <v>0</v>
      </c>
      <c r="AO391">
        <v>0</v>
      </c>
    </row>
    <row r="392" spans="1:41" x14ac:dyDescent="0.2">
      <c r="A392">
        <v>2023</v>
      </c>
      <c r="B392">
        <v>104945</v>
      </c>
      <c r="D392" t="s">
        <v>1504</v>
      </c>
      <c r="E392" t="s">
        <v>42</v>
      </c>
      <c r="F392">
        <v>622110</v>
      </c>
      <c r="G392" t="s">
        <v>868</v>
      </c>
      <c r="H392" t="s">
        <v>1505</v>
      </c>
      <c r="I392" t="s">
        <v>293</v>
      </c>
      <c r="J392" t="s">
        <v>46</v>
      </c>
      <c r="K392">
        <v>92335</v>
      </c>
      <c r="L392">
        <v>34.073</v>
      </c>
      <c r="M392">
        <v>-117.434</v>
      </c>
      <c r="N392" t="s">
        <v>1506</v>
      </c>
      <c r="O392" t="s">
        <v>57</v>
      </c>
      <c r="P392" t="s">
        <v>49</v>
      </c>
      <c r="Q392" t="s">
        <v>50</v>
      </c>
      <c r="R392" t="s">
        <v>75</v>
      </c>
      <c r="S392" s="1">
        <v>10397</v>
      </c>
      <c r="T392" s="1">
        <v>10397</v>
      </c>
      <c r="U392">
        <v>0</v>
      </c>
      <c r="V392" s="1">
        <v>10386</v>
      </c>
      <c r="W392">
        <v>0.2</v>
      </c>
      <c r="X392">
        <v>0.02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>
        <v>0</v>
      </c>
    </row>
    <row r="393" spans="1:41" x14ac:dyDescent="0.2">
      <c r="A393">
        <v>2023</v>
      </c>
      <c r="B393">
        <v>104948</v>
      </c>
      <c r="D393" t="s">
        <v>1507</v>
      </c>
      <c r="E393" t="s">
        <v>42</v>
      </c>
      <c r="F393">
        <v>115114</v>
      </c>
      <c r="G393" t="s">
        <v>1508</v>
      </c>
      <c r="H393" t="s">
        <v>1509</v>
      </c>
      <c r="I393" t="s">
        <v>1510</v>
      </c>
      <c r="J393" t="s">
        <v>46</v>
      </c>
      <c r="K393">
        <v>93280</v>
      </c>
      <c r="L393">
        <v>35.567999999999998</v>
      </c>
      <c r="M393">
        <v>0</v>
      </c>
      <c r="N393" t="s">
        <v>1511</v>
      </c>
      <c r="O393" t="s">
        <v>392</v>
      </c>
      <c r="P393" t="s">
        <v>1491</v>
      </c>
      <c r="Q393" t="s">
        <v>195</v>
      </c>
      <c r="R393" t="s">
        <v>75</v>
      </c>
      <c r="S393" s="1">
        <v>14962</v>
      </c>
      <c r="T393" s="1">
        <v>14962</v>
      </c>
      <c r="U393">
        <v>0</v>
      </c>
      <c r="V393" s="1">
        <v>14946</v>
      </c>
      <c r="W393">
        <v>0.28000000000000003</v>
      </c>
      <c r="X393">
        <v>0.03</v>
      </c>
      <c r="Y393" s="12">
        <v>14962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>
        <v>0</v>
      </c>
    </row>
    <row r="394" spans="1:41" x14ac:dyDescent="0.2">
      <c r="S394" s="4" t="s">
        <v>1514</v>
      </c>
      <c r="T394" s="4"/>
      <c r="U394" s="5"/>
      <c r="V394" s="4"/>
      <c r="W394" s="5"/>
      <c r="X394" s="5"/>
      <c r="Y394" s="6">
        <f>SUM(Emissions[Covered GHG])</f>
        <v>59061654</v>
      </c>
      <c r="Z394" s="6">
        <f>SUM(Emissions[VOC])</f>
        <v>7756.199999999998</v>
      </c>
      <c r="AA394" s="6">
        <f>SUM(Emissions[NOx])</f>
        <v>23817.199999999997</v>
      </c>
      <c r="AB394" s="6">
        <f>SUM(Emissions[SOx])</f>
        <v>5146.1000000000186</v>
      </c>
      <c r="AC394" s="6">
        <f>SUM(Emissions[PM10])</f>
        <v>7450.7000000000007</v>
      </c>
      <c r="AD394" s="6">
        <f>SUM(Emissions[PM2.5])</f>
        <v>5120.3999999999987</v>
      </c>
      <c r="AE394">
        <f>SUM(Emissions[Benzene])</f>
        <v>69303.850999999995</v>
      </c>
      <c r="AF394">
        <f>SUM(Emissions[13-Butadiene])</f>
        <v>5875.3700000000035</v>
      </c>
      <c r="AG394">
        <f>SUM(Emissions[Chromium Hexavalent])</f>
        <v>101.12700000000005</v>
      </c>
      <c r="AH394">
        <f>SUM(Emissions[Diesel PM])</f>
        <v>69349.61500000002</v>
      </c>
      <c r="AI394">
        <f>SUM(Emissions[Formaldehyde])</f>
        <v>465214.45900000015</v>
      </c>
      <c r="AJ394">
        <f>SUM(Emissions[Hydrochloric Acid])</f>
        <v>233019.48699999996</v>
      </c>
      <c r="AK394">
        <f>SUM(Emissions[Hydrogen Sulfide])</f>
        <v>150843.33799999999</v>
      </c>
      <c r="AL394">
        <f>SUM(Emissions[Nickel])</f>
        <v>2914.0939999999991</v>
      </c>
      <c r="AM394">
        <f>SUM(Emissions[Acute ToxicityWtd_Lbs])</f>
        <v>9594.7559999999994</v>
      </c>
      <c r="AN394">
        <f>SUM(Emissions[Chronic ToxicityWtd_Lbs])</f>
        <v>18432.83400000001</v>
      </c>
      <c r="AO394">
        <f>SUM(Emissions[Cancer ToxicityWtd_Lbs])</f>
        <v>376347.21899999981</v>
      </c>
    </row>
    <row r="395" spans="1:41" x14ac:dyDescent="0.2">
      <c r="A395" t="s">
        <v>1512</v>
      </c>
      <c r="S395" s="5" t="s">
        <v>1515</v>
      </c>
      <c r="T395" s="5"/>
      <c r="U395" s="5"/>
      <c r="V395" s="5"/>
      <c r="W395" s="5"/>
      <c r="X395" s="5"/>
      <c r="Y395" s="6">
        <f>SUMIFS(Emissions[Covered GHG], Emissions[Primary Sector], "Oil and Gas Production")</f>
        <v>10425328</v>
      </c>
      <c r="Z395" s="6"/>
      <c r="AA395" s="6">
        <f>SUMIFS(Emissions[NOx], Emissions[Primary Sector], "Oil and Gas Production")</f>
        <v>1870.7999999999995</v>
      </c>
      <c r="AB395" s="6">
        <f>SUMIFS(Emissions[SOx], Emissions[Primary Sector], "Oil and Gas Production")</f>
        <v>178.19999999999993</v>
      </c>
      <c r="AC395" s="6">
        <f>SUMIFS(Emissions[PM10], Emissions[Primary Sector], "Oil and Gas Production")</f>
        <v>390.50000000000006</v>
      </c>
      <c r="AD395" s="6">
        <f>SUMIFS(Emissions[PM2.5], Emissions[Primary Sector], "Oil and Gas Production")</f>
        <v>388.3</v>
      </c>
    </row>
    <row r="396" spans="1:41" x14ac:dyDescent="0.2">
      <c r="S396" s="5" t="s">
        <v>1516</v>
      </c>
      <c r="T396" s="5"/>
      <c r="U396" s="5"/>
      <c r="V396" s="5"/>
      <c r="W396" s="5"/>
      <c r="X396" s="5"/>
      <c r="Y396" s="6">
        <f>SUMIFS(Emissions[Covered GHG], Emissions[Primary Sector], "Hydrogen Plant")</f>
        <v>3957893</v>
      </c>
      <c r="Z396" s="6"/>
      <c r="AA396" s="6">
        <f>SUMIFS(Emissions[NOx], Emissions[Primary Sector], "Hydrogen Plant")</f>
        <v>518.9</v>
      </c>
      <c r="AB396" s="6">
        <f>SUMIFS(Emissions[SOx], Emissions[Primary Sector], "Hydrogen Plant")</f>
        <v>205.8</v>
      </c>
      <c r="AC396" s="6">
        <f>SUMIFS(Emissions[PM10], Emissions[Primary Sector], "Hydrogen Plant")</f>
        <v>137</v>
      </c>
      <c r="AD396" s="6">
        <f>SUMIFS(Emissions[PM2.5], Emissions[Primary Sector], "Hydrogen Plant")</f>
        <v>124.7</v>
      </c>
    </row>
    <row r="397" spans="1:41" x14ac:dyDescent="0.2">
      <c r="P397" s="3"/>
      <c r="S397" s="5" t="s">
        <v>111</v>
      </c>
      <c r="T397" s="5"/>
      <c r="U397" s="5"/>
      <c r="V397" s="5"/>
      <c r="W397" s="5"/>
      <c r="X397" s="5"/>
      <c r="Y397" s="6">
        <f>SUMIFS(Emissions[Covered GHG], Emissions[Primary Sector], "Refinery")</f>
        <v>27611226</v>
      </c>
      <c r="Z397" s="6"/>
      <c r="AA397" s="6">
        <f>SUMIFS(Emissions[NOx], Emissions[Primary Sector], "Refinery")</f>
        <v>4752.6000000000004</v>
      </c>
      <c r="AB397" s="6">
        <f>SUMIFS(Emissions[SOx], Emissions[Primary Sector], "Refinery")</f>
        <v>2124.1999999999998</v>
      </c>
      <c r="AC397" s="6">
        <f>SUMIFS(Emissions[PM10], Emissions[Primary Sector], "Refinery")</f>
        <v>1693.1000000000001</v>
      </c>
      <c r="AD397" s="6">
        <f>SUMIFS(Emissions[PM2.5], Emissions[Primary Sector], "Refinery")</f>
        <v>1561.7</v>
      </c>
    </row>
    <row r="398" spans="1:41" x14ac:dyDescent="0.2">
      <c r="R398" s="3"/>
      <c r="S398" s="5" t="s">
        <v>1517</v>
      </c>
      <c r="T398" s="5"/>
      <c r="U398" s="5"/>
      <c r="V398" s="5"/>
      <c r="W398" s="5"/>
      <c r="X398" s="5"/>
      <c r="Y398" s="7">
        <f>Y395/Emissions[[#Totals],[Covered GHG]]</f>
        <v>0.17651601832891439</v>
      </c>
      <c r="Z398" s="7">
        <f>Z395/Emissions[[#Totals],[VOC]]</f>
        <v>0</v>
      </c>
      <c r="AA398" s="7">
        <f>AA395/Emissions[[#Totals],[NOx]]</f>
        <v>7.8548276035806039E-2</v>
      </c>
      <c r="AB398" s="7">
        <f>AB395/Emissions[[#Totals],[SOx]]</f>
        <v>3.4628165018168962E-2</v>
      </c>
      <c r="AC398" s="7">
        <f>AC395/Emissions[[#Totals],[PM10]]</f>
        <v>5.2411182841880628E-2</v>
      </c>
      <c r="AD398" s="7">
        <f>AD395/Emissions[[#Totals],[PM2.5]]</f>
        <v>7.5833919225060567E-2</v>
      </c>
    </row>
    <row r="399" spans="1:41" x14ac:dyDescent="0.2">
      <c r="A399" t="s">
        <v>1513</v>
      </c>
      <c r="B399">
        <f>SUM(Emissions[Covered GHG])</f>
        <v>59061654</v>
      </c>
      <c r="S399" s="5" t="s">
        <v>1518</v>
      </c>
      <c r="T399" s="5"/>
      <c r="U399" s="5"/>
      <c r="V399" s="5"/>
      <c r="W399" s="5"/>
      <c r="X399" s="5"/>
      <c r="Y399" s="7">
        <f>Y396/Emissions[[#Totals],[Covered GHG]]</f>
        <v>6.7012904853629734E-2</v>
      </c>
      <c r="Z399" s="7">
        <f>Z396/Emissions[[#Totals],[VOC]]</f>
        <v>0</v>
      </c>
      <c r="AA399" s="7">
        <f>AA396/Emissions[[#Totals],[NOx]]</f>
        <v>2.1786775943435838E-2</v>
      </c>
      <c r="AB399" s="7">
        <f>AB396/Emissions[[#Totals],[SOx]]</f>
        <v>3.9991449835797839E-2</v>
      </c>
      <c r="AC399" s="7">
        <f>AC396/Emissions[[#Totals],[PM10]]</f>
        <v>1.8387534057202677E-2</v>
      </c>
      <c r="AD399" s="7">
        <f>AD396/Emissions[[#Totals],[PM2.5]]</f>
        <v>2.4353566127646283E-2</v>
      </c>
    </row>
    <row r="400" spans="1:41" x14ac:dyDescent="0.2">
      <c r="S400" s="5" t="s">
        <v>1519</v>
      </c>
      <c r="T400" s="5"/>
      <c r="U400" s="5"/>
      <c r="V400" s="5"/>
      <c r="W400" s="5"/>
      <c r="X400" s="5"/>
      <c r="Y400" s="7">
        <f>Y397/Emissions[[#Totals],[Covered GHG]]</f>
        <v>0.46749835350022539</v>
      </c>
      <c r="Z400" s="7">
        <f>Z397/Emissions[[#Totals],[VOC]]</f>
        <v>0</v>
      </c>
      <c r="AA400" s="7">
        <f>AA397/Emissions[[#Totals],[NOx]]</f>
        <v>0.19954486673496469</v>
      </c>
      <c r="AB400" s="7">
        <f>AB397/Emissions[[#Totals],[SOx]]</f>
        <v>0.41277860904374036</v>
      </c>
      <c r="AC400" s="7">
        <f>AC397/Emissions[[#Totals],[PM10]]</f>
        <v>0.22724039352007194</v>
      </c>
      <c r="AD400" s="7">
        <f>AD397/Emissions[[#Totals],[PM2.5]]</f>
        <v>0.30499570346066723</v>
      </c>
    </row>
    <row r="401" spans="19:29" x14ac:dyDescent="0.2">
      <c r="S401" s="8" t="s">
        <v>1520</v>
      </c>
      <c r="Y401" s="9">
        <f>Emissions[[#Totals],[Covered GHG]]-Y395-Y397</f>
        <v>21025100</v>
      </c>
    </row>
    <row r="402" spans="19:29" x14ac:dyDescent="0.2">
      <c r="S402" s="8" t="s">
        <v>1521</v>
      </c>
      <c r="Y402" s="9">
        <f>Emissions[[#Totals],[Covered GHG]]-Y395-Y396-Y397</f>
        <v>17067207</v>
      </c>
    </row>
    <row r="403" spans="19:29" x14ac:dyDescent="0.2">
      <c r="S403" s="10" t="s">
        <v>17</v>
      </c>
      <c r="T403" t="s">
        <v>51</v>
      </c>
      <c r="AB403" t="s">
        <v>1514</v>
      </c>
      <c r="AC403">
        <v>360.4</v>
      </c>
    </row>
    <row r="404" spans="19:29" x14ac:dyDescent="0.2">
      <c r="AB404" t="s">
        <v>1536</v>
      </c>
    </row>
    <row r="405" spans="19:29" x14ac:dyDescent="0.2">
      <c r="S405" s="10" t="s">
        <v>1522</v>
      </c>
      <c r="T405" t="s">
        <v>1528</v>
      </c>
      <c r="U405" t="s">
        <v>1527</v>
      </c>
      <c r="V405" t="s">
        <v>1526</v>
      </c>
      <c r="W405" t="s">
        <v>1525</v>
      </c>
      <c r="X405" t="s">
        <v>1524</v>
      </c>
    </row>
    <row r="406" spans="19:29" x14ac:dyDescent="0.2">
      <c r="S406" s="11" t="s">
        <v>61</v>
      </c>
      <c r="T406" s="9">
        <v>989.6</v>
      </c>
      <c r="U406" s="9">
        <v>2230.4</v>
      </c>
      <c r="V406" s="9">
        <v>919.6</v>
      </c>
      <c r="W406" s="9">
        <v>9340.5</v>
      </c>
      <c r="X406" s="9">
        <v>6974670</v>
      </c>
    </row>
    <row r="407" spans="19:29" x14ac:dyDescent="0.2">
      <c r="S407" s="11" t="s">
        <v>67</v>
      </c>
      <c r="T407" s="9">
        <v>69.8</v>
      </c>
      <c r="U407" s="9">
        <v>70</v>
      </c>
      <c r="V407" s="9">
        <v>16.5</v>
      </c>
      <c r="W407" s="9">
        <v>290</v>
      </c>
      <c r="X407" s="9">
        <v>2993694</v>
      </c>
    </row>
    <row r="408" spans="19:29" x14ac:dyDescent="0.2">
      <c r="S408" s="11" t="s">
        <v>92</v>
      </c>
      <c r="T408" s="9">
        <v>124.7</v>
      </c>
      <c r="U408" s="9">
        <v>137</v>
      </c>
      <c r="V408" s="9">
        <v>205.79999999999998</v>
      </c>
      <c r="W408" s="9">
        <v>518.90000000000009</v>
      </c>
      <c r="X408" s="9">
        <v>3957893</v>
      </c>
    </row>
    <row r="409" spans="19:29" x14ac:dyDescent="0.2">
      <c r="S409" s="11" t="s">
        <v>250</v>
      </c>
      <c r="T409" s="9">
        <v>355.70000000000005</v>
      </c>
      <c r="U409" s="9">
        <v>357.8</v>
      </c>
      <c r="V409" s="9">
        <v>170.20000000000002</v>
      </c>
      <c r="W409" s="9">
        <v>1603.6999999999998</v>
      </c>
      <c r="X409" s="9">
        <v>10425328</v>
      </c>
    </row>
    <row r="410" spans="19:29" x14ac:dyDescent="0.2">
      <c r="S410" s="11" t="s">
        <v>42</v>
      </c>
      <c r="T410" s="9">
        <v>914.00000000000034</v>
      </c>
      <c r="U410" s="9">
        <v>1346.2000000000003</v>
      </c>
      <c r="V410" s="9">
        <v>894.80000000000041</v>
      </c>
      <c r="W410" s="9">
        <v>3840.099999999999</v>
      </c>
      <c r="X410" s="9">
        <v>7083881</v>
      </c>
    </row>
    <row r="411" spans="19:29" x14ac:dyDescent="0.2">
      <c r="S411" s="11" t="s">
        <v>111</v>
      </c>
      <c r="T411" s="9">
        <v>1553.0000000000002</v>
      </c>
      <c r="U411" s="9">
        <v>1684.1000000000001</v>
      </c>
      <c r="V411" s="9">
        <v>2120</v>
      </c>
      <c r="W411" s="9">
        <v>4714.0000000000009</v>
      </c>
      <c r="X411" s="9">
        <v>27611226</v>
      </c>
    </row>
    <row r="412" spans="19:29" x14ac:dyDescent="0.2">
      <c r="S412" s="11" t="s">
        <v>1523</v>
      </c>
      <c r="T412" s="9">
        <v>4006.8000000000011</v>
      </c>
      <c r="U412" s="9">
        <v>5825.5000000000009</v>
      </c>
      <c r="V412" s="9">
        <v>4326.9000000000005</v>
      </c>
      <c r="W412" s="9">
        <v>20307.199999999997</v>
      </c>
      <c r="X412" s="9">
        <v>59046692</v>
      </c>
    </row>
    <row r="413" spans="19:29" ht="17" thickBot="1" x14ac:dyDescent="0.25"/>
    <row r="414" spans="19:29" x14ac:dyDescent="0.2">
      <c r="S414" s="15"/>
      <c r="T414" s="14" t="s">
        <v>1529</v>
      </c>
      <c r="U414" s="16" t="s">
        <v>1531</v>
      </c>
      <c r="V414" s="14" t="s">
        <v>26</v>
      </c>
      <c r="W414" s="14" t="s">
        <v>27</v>
      </c>
      <c r="X414" s="14" t="s">
        <v>28</v>
      </c>
      <c r="Y414" s="14" t="s">
        <v>29</v>
      </c>
      <c r="Z414" s="13"/>
      <c r="AA414" s="13"/>
      <c r="AB414" s="13"/>
      <c r="AC414" s="13"/>
    </row>
    <row r="415" spans="19:29" x14ac:dyDescent="0.2">
      <c r="S415" s="22"/>
      <c r="T415" s="23" t="s">
        <v>1530</v>
      </c>
      <c r="U415" s="24"/>
      <c r="V415" s="23" t="s">
        <v>1532</v>
      </c>
      <c r="W415" s="23" t="s">
        <v>1532</v>
      </c>
      <c r="X415" s="23" t="s">
        <v>1532</v>
      </c>
      <c r="Y415" s="23" t="s">
        <v>1532</v>
      </c>
      <c r="Z415" s="13"/>
      <c r="AA415" s="13"/>
      <c r="AB415" s="13"/>
      <c r="AC415" s="13"/>
    </row>
    <row r="416" spans="19:29" x14ac:dyDescent="0.2">
      <c r="S416" s="18" t="s">
        <v>1533</v>
      </c>
      <c r="T416" s="19">
        <v>59046692</v>
      </c>
      <c r="U416" s="25">
        <f>T416/($AC$403*10^6)</f>
        <v>0.16383654827968924</v>
      </c>
      <c r="V416" s="19">
        <v>20307.199999999997</v>
      </c>
      <c r="W416" s="19">
        <v>4326.9000000000005</v>
      </c>
      <c r="X416" s="19">
        <v>5825.5000000000009</v>
      </c>
      <c r="Y416" s="19">
        <v>4006.8000000000011</v>
      </c>
    </row>
    <row r="417" spans="19:25" ht="28" x14ac:dyDescent="0.2">
      <c r="S417" s="20" t="s">
        <v>1534</v>
      </c>
      <c r="T417" s="21">
        <f>SUM(X409,X411)</f>
        <v>38036554</v>
      </c>
      <c r="U417" s="26">
        <f>T417/($AC$403*10^6)</f>
        <v>0.10553982796892342</v>
      </c>
      <c r="V417" s="21">
        <f>SUM(W411,W409)</f>
        <v>6317.7000000000007</v>
      </c>
      <c r="W417" s="21">
        <f>SUM(V411,V409)</f>
        <v>2290.1999999999998</v>
      </c>
      <c r="X417" s="21">
        <f>SUM(U411,U409)</f>
        <v>2041.9</v>
      </c>
      <c r="Y417" s="21">
        <f>SUM(T411,T409)</f>
        <v>1908.7000000000003</v>
      </c>
    </row>
    <row r="418" spans="19:25" ht="28" x14ac:dyDescent="0.2">
      <c r="S418" s="18" t="s">
        <v>1537</v>
      </c>
      <c r="T418" s="19">
        <f>GETPIVOTDATA("Sum of Covered GHG",$S$405,"Primary Sector","Hydrogen Plant")</f>
        <v>3957893</v>
      </c>
      <c r="U418" s="25">
        <f>T418/($AC$403*10^6)</f>
        <v>1.0981945061043285E-2</v>
      </c>
      <c r="V418" s="19">
        <f>GETPIVOTDATA("Sum of NOx",$S$405,"Primary Sector","Hydrogen Plant")</f>
        <v>518.90000000000009</v>
      </c>
      <c r="W418" s="19">
        <f>GETPIVOTDATA("Sum of SOx",$S$405,"Primary Sector","Hydrogen Plant")</f>
        <v>205.79999999999998</v>
      </c>
      <c r="X418" s="19">
        <f>GETPIVOTDATA("Sum of PM10",$S$405,"Primary Sector","Hydrogen Plant")</f>
        <v>137</v>
      </c>
      <c r="Y418" s="19">
        <f>GETPIVOTDATA("Sum of PM2.5",$S$405,"Primary Sector","Hydrogen Plant")</f>
        <v>124.7</v>
      </c>
    </row>
    <row r="419" spans="19:25" ht="28" x14ac:dyDescent="0.2">
      <c r="S419" s="20" t="s">
        <v>1535</v>
      </c>
      <c r="T419" s="21">
        <f>T416-T417-T418</f>
        <v>17052245</v>
      </c>
      <c r="U419" s="27">
        <f>T419/($AC$403*10^6)</f>
        <v>4.7314775249722531E-2</v>
      </c>
      <c r="V419" s="21">
        <f t="shared" ref="V419:Y419" si="0">V416-V417-V418</f>
        <v>13470.599999999997</v>
      </c>
      <c r="W419" s="21">
        <f t="shared" si="0"/>
        <v>1830.9000000000008</v>
      </c>
      <c r="X419" s="21">
        <f t="shared" si="0"/>
        <v>3646.6000000000008</v>
      </c>
      <c r="Y419" s="21">
        <f t="shared" si="0"/>
        <v>1973.4000000000008</v>
      </c>
    </row>
    <row r="420" spans="19:25" x14ac:dyDescent="0.2">
      <c r="S420" s="17" t="s">
        <v>1538</v>
      </c>
    </row>
  </sheetData>
  <mergeCells count="2">
    <mergeCell ref="S414:S415"/>
    <mergeCell ref="U414:U415"/>
  </mergeCells>
  <pageMargins left="0.75" right="0.75" top="1" bottom="1" header="0.5" footer="0.5"/>
  <ignoredErrors>
    <ignoredError sqref="U419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FacilityEmissions-5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Getzoff</cp:lastModifiedBy>
  <dcterms:created xsi:type="dcterms:W3CDTF">2026-02-15T20:13:24Z</dcterms:created>
  <dcterms:modified xsi:type="dcterms:W3CDTF">2026-02-19T00:53:12Z</dcterms:modified>
</cp:coreProperties>
</file>